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ENERAL PSD\PENDINGAN LINDAA 2026\GENERAL 2026\00. PORTAL TIMESHEET\1_Data_Master\"/>
    </mc:Choice>
  </mc:AlternateContent>
  <xr:revisionPtr revIDLastSave="0" documentId="13_ncr:1_{B1C81FC8-3603-4A84-869A-EF8AD25A25C5}" xr6:coauthVersionLast="47" xr6:coauthVersionMax="47" xr10:uidLastSave="{00000000-0000-0000-0000-000000000000}"/>
  <bookViews>
    <workbookView xWindow="-110" yWindow="-110" windowWidth="19420" windowHeight="10300" xr2:uid="{CEF79333-F3A4-451D-BE26-4BA9C1711C1C}"/>
  </bookViews>
  <sheets>
    <sheet name="MASTER ABSENSI" sheetId="1" r:id="rId1"/>
    <sheet name="SPL" sheetId="2" r:id="rId2"/>
  </sheets>
  <definedNames>
    <definedName name="_xlnm._FilterDatabase" localSheetId="1" hidden="1">SPL!$B$1:$Q$143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3" i="1" l="1"/>
  <c r="H38" i="1"/>
  <c r="H37" i="1"/>
  <c r="H15" i="1"/>
  <c r="H3" i="1"/>
  <c r="H4" i="1"/>
  <c r="H5" i="1"/>
  <c r="H6" i="1"/>
  <c r="H7" i="1"/>
  <c r="H8" i="1"/>
  <c r="H9" i="1"/>
  <c r="H10" i="1"/>
  <c r="H11" i="1"/>
  <c r="H12" i="1"/>
  <c r="H13" i="1"/>
  <c r="H14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4" i="1"/>
  <c r="H35" i="1"/>
  <c r="H36" i="1"/>
  <c r="H39" i="1"/>
  <c r="H40" i="1"/>
  <c r="H41" i="1"/>
  <c r="H42" i="1"/>
  <c r="H43" i="1"/>
  <c r="H44" i="1"/>
  <c r="H45" i="1"/>
  <c r="H46" i="1"/>
  <c r="H47" i="1"/>
  <c r="H48" i="1"/>
  <c r="H49" i="1"/>
  <c r="H50" i="1"/>
  <c r="H2" i="1"/>
  <c r="A10" i="2"/>
  <c r="A11" i="2"/>
  <c r="A12" i="2"/>
  <c r="A14" i="2"/>
  <c r="A15" i="2"/>
  <c r="A17" i="2"/>
  <c r="A18" i="2"/>
  <c r="A19" i="2"/>
  <c r="A20" i="2"/>
  <c r="A21" i="2"/>
  <c r="A22" i="2"/>
  <c r="A24" i="2"/>
  <c r="A27" i="2"/>
  <c r="A28" i="2"/>
  <c r="A29" i="2"/>
  <c r="A30" i="2"/>
  <c r="A31" i="2"/>
  <c r="A32" i="2"/>
  <c r="A33" i="2"/>
  <c r="A35" i="2"/>
  <c r="A36" i="2"/>
  <c r="A37" i="2"/>
  <c r="A38" i="2"/>
  <c r="A39" i="2"/>
  <c r="A40" i="2"/>
  <c r="A43" i="2"/>
  <c r="A44" i="2"/>
  <c r="A45" i="2"/>
  <c r="A46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2" i="2"/>
  <c r="A41" i="2"/>
  <c r="A34" i="2"/>
  <c r="A26" i="2"/>
  <c r="A25" i="2"/>
  <c r="A23" i="2"/>
  <c r="A16" i="2"/>
  <c r="A13" i="2"/>
  <c r="A9" i="2"/>
  <c r="A8" i="2"/>
  <c r="A7" i="2"/>
  <c r="A6" i="2"/>
  <c r="A5" i="2"/>
  <c r="A4" i="2"/>
  <c r="A3" i="2"/>
  <c r="AI85" i="1"/>
  <c r="AG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AI84" i="1"/>
  <c r="AG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AI83" i="1"/>
  <c r="AG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AI82" i="1"/>
  <c r="AG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AI81" i="1"/>
  <c r="AG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AI80" i="1"/>
  <c r="AG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AI79" i="1"/>
  <c r="AG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AI78" i="1"/>
  <c r="AG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AI77" i="1"/>
  <c r="AG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AI76" i="1"/>
  <c r="AG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AI75" i="1"/>
  <c r="AG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AI74" i="1"/>
  <c r="AG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AI73" i="1"/>
  <c r="AG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K71" i="1"/>
  <c r="L71" i="1" s="1"/>
  <c r="M71" i="1" s="1"/>
  <c r="N71" i="1" s="1"/>
  <c r="O71" i="1" s="1"/>
  <c r="P71" i="1" s="1"/>
  <c r="Q71" i="1" s="1"/>
  <c r="R71" i="1" s="1"/>
  <c r="S71" i="1" s="1"/>
  <c r="T71" i="1" s="1"/>
  <c r="U71" i="1" s="1"/>
  <c r="V71" i="1" s="1"/>
  <c r="W71" i="1" s="1"/>
  <c r="X71" i="1" s="1"/>
  <c r="Y71" i="1" s="1"/>
  <c r="Z71" i="1" s="1"/>
  <c r="AG71" i="1" s="1"/>
  <c r="AI71" i="1" s="1"/>
  <c r="J71" i="1"/>
  <c r="AI65" i="1"/>
  <c r="AG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AI64" i="1"/>
  <c r="AG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AI63" i="1"/>
  <c r="AG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AI62" i="1"/>
  <c r="AG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AI61" i="1"/>
  <c r="AG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AI60" i="1"/>
  <c r="AG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AI59" i="1"/>
  <c r="AG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AI58" i="1"/>
  <c r="AG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AI57" i="1"/>
  <c r="AG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AI56" i="1"/>
  <c r="AG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AI55" i="1"/>
  <c r="AG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J53" i="1"/>
  <c r="K53" i="1" s="1"/>
  <c r="L53" i="1" s="1"/>
  <c r="M53" i="1" s="1"/>
  <c r="N53" i="1" s="1"/>
  <c r="O53" i="1" s="1"/>
  <c r="P53" i="1" s="1"/>
  <c r="Q53" i="1" s="1"/>
  <c r="R53" i="1" s="1"/>
  <c r="S53" i="1" s="1"/>
  <c r="T53" i="1" s="1"/>
  <c r="U53" i="1" s="1"/>
  <c r="V53" i="1" s="1"/>
  <c r="W53" i="1" s="1"/>
  <c r="X53" i="1" s="1"/>
  <c r="Y53" i="1" s="1"/>
  <c r="Z53" i="1" s="1"/>
  <c r="AA53" i="1" s="1"/>
  <c r="AB53" i="1" s="1"/>
  <c r="AC53" i="1" s="1"/>
  <c r="AD53" i="1" s="1"/>
  <c r="AE53" i="1" s="1"/>
  <c r="AF53" i="1" s="1"/>
  <c r="AG53" i="1" s="1"/>
  <c r="AH53" i="1" s="1"/>
  <c r="AI53" i="1" s="1"/>
  <c r="AP13" i="1"/>
  <c r="AP12" i="1"/>
  <c r="AP11" i="1"/>
  <c r="AP10" i="1"/>
  <c r="AP9" i="1"/>
  <c r="AP8" i="1"/>
  <c r="AP6" i="1"/>
  <c r="AP5" i="1"/>
  <c r="AP4" i="1"/>
  <c r="AP3" i="1"/>
  <c r="AP2" i="1"/>
  <c r="J1" i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</calcChain>
</file>

<file path=xl/sharedStrings.xml><?xml version="1.0" encoding="utf-8"?>
<sst xmlns="http://schemas.openxmlformats.org/spreadsheetml/2006/main" count="1778" uniqueCount="115">
  <si>
    <t>D</t>
  </si>
  <si>
    <t xml:space="preserve">NRP </t>
  </si>
  <si>
    <t xml:space="preserve">NAMA </t>
  </si>
  <si>
    <t>KATEGORI</t>
  </si>
  <si>
    <t>JABATAN</t>
  </si>
  <si>
    <t>Aktifitas Kerja</t>
  </si>
  <si>
    <t>LOKASI</t>
  </si>
  <si>
    <t>Hari ke-</t>
  </si>
  <si>
    <t>CODE</t>
  </si>
  <si>
    <t>JAM MASUK</t>
  </si>
  <si>
    <t>JAM PULANG</t>
  </si>
  <si>
    <t>NOVITA FITRI</t>
  </si>
  <si>
    <t>FUELMAN</t>
  </si>
  <si>
    <t>REFUELING</t>
  </si>
  <si>
    <t>CHPP</t>
  </si>
  <si>
    <t>OFF</t>
  </si>
  <si>
    <t>C</t>
  </si>
  <si>
    <t>ADMIN</t>
  </si>
  <si>
    <t>FAJAR PILIPUS SIHOMBING</t>
  </si>
  <si>
    <t>ADMIN PROCUREMENT</t>
  </si>
  <si>
    <t>UKANDRI</t>
  </si>
  <si>
    <t>IRFAN NURHADI</t>
  </si>
  <si>
    <t>N</t>
  </si>
  <si>
    <t>FIELD SUPPORT</t>
  </si>
  <si>
    <t>MUHAMMAD AKHSANUL HUDA</t>
  </si>
  <si>
    <t>ADMIN FOG</t>
  </si>
  <si>
    <t>RESKI</t>
  </si>
  <si>
    <t>S</t>
  </si>
  <si>
    <t>THANTAWI FADILAH</t>
  </si>
  <si>
    <t>AHMAD FADHOLI</t>
  </si>
  <si>
    <t>AHMAD JURDI</t>
  </si>
  <si>
    <t>OILMAN</t>
  </si>
  <si>
    <t>MUHAMMAD ISNUHONI</t>
  </si>
  <si>
    <t>TEDY SAPUTRA</t>
  </si>
  <si>
    <t>CTN</t>
  </si>
  <si>
    <t>LUTFY YAZID</t>
  </si>
  <si>
    <t>MUHAMMAD ZAINI</t>
  </si>
  <si>
    <t>JUMILIN</t>
  </si>
  <si>
    <t>MUHAMMAD RIZKI FIRDAUS</t>
  </si>
  <si>
    <t>ROSID WASKITO</t>
  </si>
  <si>
    <t>KOMOK</t>
  </si>
  <si>
    <t>AHMAD NOR</t>
  </si>
  <si>
    <t>INPUT DAN POSTING FOG</t>
  </si>
  <si>
    <t>MUHAMMAD HUSNI THAMRIN</t>
  </si>
  <si>
    <t>WILDAN IRGIE FAZIRA</t>
  </si>
  <si>
    <t>NANDA RIZKY BUDIANTO</t>
  </si>
  <si>
    <t>GR GI DAN SUPPLY BARANG</t>
  </si>
  <si>
    <t>AHMAT SUGIANOR</t>
  </si>
  <si>
    <t>ZAINAL HAKIM</t>
  </si>
  <si>
    <t>JIMI ARNOLDY</t>
  </si>
  <si>
    <t>AHMAD YUNUS</t>
  </si>
  <si>
    <t>HANSO</t>
  </si>
  <si>
    <t>ANDRE JEVISCA</t>
  </si>
  <si>
    <t>DENIS DAMARA</t>
  </si>
  <si>
    <t>STOCK TAKER</t>
  </si>
  <si>
    <t>AMINAL HUSNADI</t>
  </si>
  <si>
    <t>BUDIMAN</t>
  </si>
  <si>
    <t>PENGADAAN DAN GENERAL PR TO PO</t>
  </si>
  <si>
    <t>DAFRIT TIERO BERNANDO</t>
  </si>
  <si>
    <t>HAJU</t>
  </si>
  <si>
    <t>REVALDHY NARADA PUTRA</t>
  </si>
  <si>
    <t>MILKANSYAH</t>
  </si>
  <si>
    <t>AMANDA MARINDO</t>
  </si>
  <si>
    <t>PIGAR</t>
  </si>
  <si>
    <t>SUGIANOR</t>
  </si>
  <si>
    <t>I</t>
  </si>
  <si>
    <t>RANDI</t>
  </si>
  <si>
    <t>RIFKY JANUARTA</t>
  </si>
  <si>
    <t>ALDO WARTA SAPUTRA</t>
  </si>
  <si>
    <t>VRIO AGUSTINUS</t>
  </si>
  <si>
    <t>AHMAD KURNIAWAN</t>
  </si>
  <si>
    <t>SERBIANTO</t>
  </si>
  <si>
    <t>DWIKY RYAMIZARDIN</t>
  </si>
  <si>
    <t>SYARIFUDIN</t>
  </si>
  <si>
    <t>NOVARI FADLI</t>
  </si>
  <si>
    <t>LEWIS PRISTIANDI</t>
  </si>
  <si>
    <t>AHMAD FIRDAUS</t>
  </si>
  <si>
    <t>MUHAMMAD REFFY FAHREZA</t>
  </si>
  <si>
    <t>MUHAMMAD RIDWAN</t>
  </si>
  <si>
    <t>JAM MASUK KERJA</t>
  </si>
  <si>
    <t>NAMA KARYAWAN</t>
  </si>
  <si>
    <t>JAM KELUAR KERJA</t>
  </si>
  <si>
    <t>No.</t>
  </si>
  <si>
    <t>NRP</t>
  </si>
  <si>
    <t>NAMA</t>
  </si>
  <si>
    <t>TANGGAL</t>
  </si>
  <si>
    <t>SHIFT (1/2)</t>
  </si>
  <si>
    <t>AWAL SHIFT</t>
  </si>
  <si>
    <t>REST TIME</t>
  </si>
  <si>
    <t>AKHIR SHIFT</t>
  </si>
  <si>
    <t>TOTAL</t>
  </si>
  <si>
    <t>KETERANGAN SPL</t>
  </si>
  <si>
    <t>START</t>
  </si>
  <si>
    <t>END</t>
  </si>
  <si>
    <t>JUMLAH</t>
  </si>
  <si>
    <t>Vrio Agustinus</t>
  </si>
  <si>
    <t xml:space="preserve"> OFF</t>
  </si>
  <si>
    <t xml:space="preserve">MCU </t>
  </si>
  <si>
    <t>Fajar Pilipus S</t>
  </si>
  <si>
    <t xml:space="preserve">Kirim os po Full approve projek intra ke vendor vendor </t>
  </si>
  <si>
    <t xml:space="preserve">create Do request kebutuhan plant support </t>
  </si>
  <si>
    <t>packing Doc Surat jalan kirim ke JNE</t>
  </si>
  <si>
    <t>Cleansing os po warrabty request HO</t>
  </si>
  <si>
    <t xml:space="preserve">urgen part service kosong progres order </t>
  </si>
  <si>
    <t xml:space="preserve">Buat orderan busa jok pak renald urgent part service </t>
  </si>
  <si>
    <t>Aminal Husnadi</t>
  </si>
  <si>
    <t>SPL Jumat</t>
  </si>
  <si>
    <t>Buat orderan urgen dan proses draf wa MDM meeving daly</t>
  </si>
  <si>
    <t>Refueling Resttime Jum'at</t>
  </si>
  <si>
    <t>FOG Hauling</t>
  </si>
  <si>
    <t>Purchasing Mining</t>
  </si>
  <si>
    <t>Inventory Mining</t>
  </si>
  <si>
    <t>Warehouse Mining</t>
  </si>
  <si>
    <t>Warehouse Hauling</t>
  </si>
  <si>
    <t>FOG Mining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</si>
</sst>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64" formatCode="dd"/>
    <numFmt numFmtId="165" formatCode="[$-F400]h:mm:ss\ AM/PM"/>
    <numFmt numFmtId="166" formatCode="[$-409]h:mm\ AM/PM;@"/>
    <numFmt numFmtId="167" formatCode="[$-1009]d\-mmm\-yy;@"/>
    <numFmt numFmtId="168" formatCode="h:mm:ss;@"/>
    <numFmt numFmtId="169" formatCode="[$-421]dd\ mmmm\ yyyy;@"/>
    <numFmt numFmtId="170" formatCode="[$-F800]dddd\,\ mmmm\ dd\,\ yyyy"/>
    <numFmt numFmtId="171" formatCode="[$-13809]h:mm;@"/>
    <numFmt numFmtId="172" formatCode="[$-409]dd\-mmm\-yy;@"/>
  </numFmts>
  <fonts count="27">
    <font>
      <sz val="11"/>
      <name val="Calibri"/>
      <charset val="134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name val="Calibri"/>
      <family val="2"/>
    </font>
    <font>
      <b/>
      <sz val="14"/>
      <color rgb="FFFF0000"/>
      <name val="Calibri"/>
      <family val="2"/>
    </font>
    <font>
      <b/>
      <sz val="10"/>
      <name val="Calibri"/>
      <family val="2"/>
    </font>
    <font>
      <sz val="16"/>
      <name val="Calibri"/>
      <family val="2"/>
    </font>
    <font>
      <sz val="16"/>
      <color theme="1"/>
      <name val="Calibri"/>
      <family val="2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sz val="8"/>
      <color theme="1"/>
      <name val="Aptos Narrow"/>
      <family val="2"/>
      <scheme val="minor"/>
    </font>
    <font>
      <b/>
      <sz val="9"/>
      <name val="Calibri"/>
      <family val="2"/>
    </font>
    <font>
      <b/>
      <sz val="12"/>
      <color theme="1"/>
      <name val="Aptos Narrow"/>
      <family val="2"/>
      <scheme val="minor"/>
    </font>
    <font>
      <sz val="13"/>
      <name val="Aptos Narrow"/>
      <family val="2"/>
      <scheme val="minor"/>
    </font>
    <font>
      <sz val="13"/>
      <color rgb="FF000000"/>
      <name val="Aptos Narrow"/>
      <family val="2"/>
      <scheme val="minor"/>
    </font>
    <font>
      <sz val="13"/>
      <color theme="0"/>
      <name val="Aptos Narrow"/>
      <family val="2"/>
      <scheme val="minor"/>
    </font>
    <font>
      <sz val="13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9"/>
      <color theme="1"/>
      <name val="Aptos Display"/>
      <family val="2"/>
      <scheme val="major"/>
    </font>
    <font>
      <sz val="12"/>
      <color theme="1"/>
      <name val="Aptos Narrow"/>
      <family val="2"/>
      <scheme val="minor"/>
    </font>
    <font>
      <sz val="12"/>
      <name val="Times New Roman"/>
      <family val="1"/>
    </font>
    <font>
      <sz val="1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4506668294322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6">
    <xf numFmtId="0" fontId="0" fillId="0" borderId="0">
      <alignment vertical="center"/>
    </xf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169" fontId="25" fillId="0" borderId="0"/>
  </cellStyleXfs>
  <cellXfs count="1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20" fontId="12" fillId="0" borderId="1" xfId="0" applyNumberFormat="1" applyFont="1" applyBorder="1" applyAlignment="1">
      <alignment horizontal="center" vertical="center"/>
    </xf>
    <xf numFmtId="0" fontId="8" fillId="6" borderId="1" xfId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9" fillId="6" borderId="1" xfId="1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8" fillId="6" borderId="3" xfId="1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0" fontId="19" fillId="0" borderId="0" xfId="0" applyFont="1">
      <alignment vertical="center"/>
    </xf>
    <xf numFmtId="0" fontId="20" fillId="0" borderId="1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15" fontId="7" fillId="0" borderId="4" xfId="0" applyNumberFormat="1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15" fontId="7" fillId="0" borderId="5" xfId="0" applyNumberFormat="1" applyFont="1" applyBorder="1" applyAlignment="1">
      <alignment horizontal="center" vertical="center"/>
    </xf>
    <xf numFmtId="15" fontId="7" fillId="0" borderId="6" xfId="0" applyNumberFormat="1" applyFont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/>
    </xf>
    <xf numFmtId="165" fontId="13" fillId="0" borderId="8" xfId="0" applyNumberFormat="1" applyFont="1" applyBorder="1" applyAlignment="1">
      <alignment horizontal="center" vertical="center"/>
    </xf>
    <xf numFmtId="0" fontId="19" fillId="0" borderId="9" xfId="0" applyFont="1" applyBorder="1" applyAlignment="1">
      <alignment horizontal="center"/>
    </xf>
    <xf numFmtId="165" fontId="13" fillId="0" borderId="9" xfId="0" applyNumberFormat="1" applyFont="1" applyBorder="1" applyAlignment="1">
      <alignment horizontal="center" vertical="center"/>
    </xf>
    <xf numFmtId="165" fontId="13" fillId="0" borderId="10" xfId="0" applyNumberFormat="1" applyFont="1" applyBorder="1" applyAlignment="1">
      <alignment horizontal="center" vertical="center"/>
    </xf>
    <xf numFmtId="0" fontId="19" fillId="0" borderId="11" xfId="0" applyFont="1" applyBorder="1" applyAlignment="1">
      <alignment horizontal="center"/>
    </xf>
    <xf numFmtId="0" fontId="22" fillId="0" borderId="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165" fontId="13" fillId="0" borderId="16" xfId="0" applyNumberFormat="1" applyFont="1" applyBorder="1" applyAlignment="1">
      <alignment horizontal="center" vertical="center"/>
    </xf>
    <xf numFmtId="165" fontId="13" fillId="0" borderId="17" xfId="0" applyNumberFormat="1" applyFont="1" applyBorder="1" applyAlignment="1">
      <alignment horizontal="center" vertical="center"/>
    </xf>
    <xf numFmtId="165" fontId="13" fillId="0" borderId="18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/>
    </xf>
    <xf numFmtId="0" fontId="19" fillId="0" borderId="20" xfId="0" applyFont="1" applyBorder="1" applyAlignment="1">
      <alignment horizontal="center"/>
    </xf>
    <xf numFmtId="165" fontId="13" fillId="0" borderId="21" xfId="0" applyNumberFormat="1" applyFont="1" applyBorder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5" fontId="7" fillId="0" borderId="1" xfId="0" applyNumberFormat="1" applyFont="1" applyBorder="1" applyAlignment="1">
      <alignment horizontal="center" vertical="center"/>
    </xf>
    <xf numFmtId="0" fontId="19" fillId="0" borderId="22" xfId="0" applyFont="1" applyBorder="1" applyAlignment="1">
      <alignment horizontal="center"/>
    </xf>
    <xf numFmtId="0" fontId="19" fillId="0" borderId="23" xfId="0" applyFont="1" applyBorder="1" applyAlignment="1">
      <alignment horizontal="center"/>
    </xf>
    <xf numFmtId="165" fontId="13" fillId="0" borderId="23" xfId="0" applyNumberFormat="1" applyFont="1" applyBorder="1" applyAlignment="1">
      <alignment horizontal="center" vertical="center"/>
    </xf>
    <xf numFmtId="166" fontId="13" fillId="0" borderId="21" xfId="0" applyNumberFormat="1" applyFont="1" applyBorder="1" applyAlignment="1">
      <alignment horizontal="center" vertical="center"/>
    </xf>
    <xf numFmtId="166" fontId="13" fillId="0" borderId="10" xfId="0" applyNumberFormat="1" applyFont="1" applyBorder="1" applyAlignment="1">
      <alignment horizontal="center" vertical="center"/>
    </xf>
    <xf numFmtId="166" fontId="13" fillId="0" borderId="24" xfId="0" applyNumberFormat="1" applyFont="1" applyBorder="1" applyAlignment="1">
      <alignment horizontal="center" vertical="center"/>
    </xf>
    <xf numFmtId="166" fontId="13" fillId="0" borderId="25" xfId="0" applyNumberFormat="1" applyFont="1" applyBorder="1" applyAlignment="1">
      <alignment horizontal="center" vertical="center"/>
    </xf>
    <xf numFmtId="166" fontId="13" fillId="0" borderId="26" xfId="0" applyNumberFormat="1" applyFont="1" applyBorder="1" applyAlignment="1">
      <alignment horizontal="center" vertical="center"/>
    </xf>
    <xf numFmtId="165" fontId="13" fillId="0" borderId="27" xfId="0" applyNumberFormat="1" applyFont="1" applyBorder="1" applyAlignment="1">
      <alignment horizontal="center" vertical="center"/>
    </xf>
    <xf numFmtId="0" fontId="4" fillId="8" borderId="10" xfId="2" applyFont="1" applyFill="1" applyBorder="1" applyAlignment="1">
      <alignment horizontal="center" vertical="center"/>
    </xf>
    <xf numFmtId="0" fontId="0" fillId="6" borderId="0" xfId="0" applyFill="1">
      <alignment vertical="center"/>
    </xf>
    <xf numFmtId="0" fontId="3" fillId="6" borderId="1" xfId="2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3" fillId="6" borderId="1" xfId="3" applyFill="1" applyBorder="1" applyAlignment="1">
      <alignment horizontal="center" vertical="center"/>
    </xf>
    <xf numFmtId="167" fontId="3" fillId="6" borderId="1" xfId="2" applyNumberFormat="1" applyFill="1" applyBorder="1" applyAlignment="1">
      <alignment horizontal="center" vertical="center"/>
    </xf>
    <xf numFmtId="20" fontId="3" fillId="6" borderId="1" xfId="2" applyNumberFormat="1" applyFill="1" applyBorder="1" applyAlignment="1">
      <alignment horizontal="center" vertical="center"/>
    </xf>
    <xf numFmtId="46" fontId="3" fillId="6" borderId="1" xfId="2" applyNumberFormat="1" applyFill="1" applyBorder="1" applyAlignment="1">
      <alignment horizontal="center" vertical="center"/>
    </xf>
    <xf numFmtId="41" fontId="0" fillId="6" borderId="1" xfId="4" applyFont="1" applyFill="1" applyBorder="1" applyAlignment="1">
      <alignment horizontal="center" vertical="center"/>
    </xf>
    <xf numFmtId="20" fontId="0" fillId="6" borderId="1" xfId="4" applyNumberFormat="1" applyFont="1" applyFill="1" applyBorder="1" applyAlignment="1">
      <alignment horizontal="center" vertical="center"/>
    </xf>
    <xf numFmtId="168" fontId="0" fillId="6" borderId="10" xfId="4" applyNumberFormat="1" applyFont="1" applyFill="1" applyBorder="1" applyAlignment="1">
      <alignment horizontal="center" vertical="center"/>
    </xf>
    <xf numFmtId="0" fontId="24" fillId="6" borderId="1" xfId="2" applyFont="1" applyFill="1" applyBorder="1" applyAlignment="1">
      <alignment horizontal="center" vertical="center"/>
    </xf>
    <xf numFmtId="165" fontId="0" fillId="6" borderId="1" xfId="4" applyNumberFormat="1" applyFont="1" applyFill="1" applyBorder="1" applyAlignment="1">
      <alignment horizontal="center" vertical="center"/>
    </xf>
    <xf numFmtId="168" fontId="0" fillId="6" borderId="1" xfId="4" applyNumberFormat="1" applyFont="1" applyFill="1" applyBorder="1" applyAlignment="1">
      <alignment horizontal="center" vertical="center"/>
    </xf>
    <xf numFmtId="169" fontId="26" fillId="6" borderId="1" xfId="5" applyFont="1" applyFill="1" applyBorder="1" applyAlignment="1">
      <alignment horizontal="center" vertical="center"/>
    </xf>
    <xf numFmtId="20" fontId="0" fillId="6" borderId="1" xfId="2" applyNumberFormat="1" applyFont="1" applyFill="1" applyBorder="1" applyAlignment="1">
      <alignment horizontal="center" vertical="center"/>
    </xf>
    <xf numFmtId="165" fontId="0" fillId="6" borderId="30" xfId="4" applyNumberFormat="1" applyFont="1" applyFill="1" applyBorder="1" applyAlignment="1">
      <alignment horizontal="center" vertical="center"/>
    </xf>
    <xf numFmtId="168" fontId="0" fillId="6" borderId="26" xfId="4" applyNumberFormat="1" applyFont="1" applyFill="1" applyBorder="1" applyAlignment="1">
      <alignment horizontal="center" vertical="center"/>
    </xf>
    <xf numFmtId="0" fontId="3" fillId="0" borderId="1" xfId="2" applyBorder="1" applyAlignment="1">
      <alignment horizontal="center" vertical="center"/>
    </xf>
    <xf numFmtId="0" fontId="3" fillId="0" borderId="1" xfId="3" applyBorder="1" applyAlignment="1">
      <alignment horizontal="center" vertical="center"/>
    </xf>
    <xf numFmtId="167" fontId="3" fillId="0" borderId="1" xfId="2" applyNumberFormat="1" applyBorder="1" applyAlignment="1">
      <alignment horizontal="center" vertical="center"/>
    </xf>
    <xf numFmtId="20" fontId="3" fillId="0" borderId="1" xfId="2" applyNumberFormat="1" applyBorder="1" applyAlignment="1">
      <alignment horizontal="center" vertical="center"/>
    </xf>
    <xf numFmtId="46" fontId="3" fillId="0" borderId="1" xfId="2" applyNumberFormat="1" applyBorder="1" applyAlignment="1">
      <alignment horizontal="center" vertical="center"/>
    </xf>
    <xf numFmtId="41" fontId="0" fillId="0" borderId="1" xfId="4" applyFont="1" applyFill="1" applyBorder="1" applyAlignment="1">
      <alignment horizontal="center" vertical="center"/>
    </xf>
    <xf numFmtId="20" fontId="0" fillId="0" borderId="1" xfId="4" applyNumberFormat="1" applyFont="1" applyFill="1" applyBorder="1" applyAlignment="1">
      <alignment horizontal="center" vertical="center"/>
    </xf>
    <xf numFmtId="20" fontId="0" fillId="0" borderId="1" xfId="2" applyNumberFormat="1" applyFont="1" applyBorder="1" applyAlignment="1">
      <alignment horizontal="center" vertical="center"/>
    </xf>
    <xf numFmtId="165" fontId="0" fillId="0" borderId="27" xfId="4" applyNumberFormat="1" applyFont="1" applyFill="1" applyBorder="1" applyAlignment="1">
      <alignment horizontal="center" vertical="center"/>
    </xf>
    <xf numFmtId="168" fontId="0" fillId="0" borderId="10" xfId="4" applyNumberFormat="1" applyFont="1" applyFill="1" applyBorder="1" applyAlignment="1">
      <alignment horizontal="center" vertical="center"/>
    </xf>
    <xf numFmtId="169" fontId="26" fillId="0" borderId="1" xfId="5" applyFont="1" applyBorder="1" applyAlignment="1">
      <alignment horizontal="center" vertical="center"/>
    </xf>
    <xf numFmtId="165" fontId="0" fillId="0" borderId="30" xfId="4" applyNumberFormat="1" applyFont="1" applyFill="1" applyBorder="1" applyAlignment="1">
      <alignment horizontal="center" vertical="center"/>
    </xf>
    <xf numFmtId="168" fontId="0" fillId="0" borderId="26" xfId="4" applyNumberFormat="1" applyFont="1" applyFill="1" applyBorder="1" applyAlignment="1">
      <alignment horizontal="center" vertical="center"/>
    </xf>
    <xf numFmtId="170" fontId="3" fillId="0" borderId="1" xfId="2" applyNumberFormat="1" applyBorder="1" applyAlignment="1">
      <alignment horizontal="center" vertical="center"/>
    </xf>
    <xf numFmtId="0" fontId="0" fillId="0" borderId="1" xfId="2" quotePrefix="1" applyFont="1" applyBorder="1" applyAlignment="1">
      <alignment horizontal="center" vertical="center"/>
    </xf>
    <xf numFmtId="20" fontId="25" fillId="0" borderId="1" xfId="5" applyNumberFormat="1" applyBorder="1" applyAlignment="1">
      <alignment horizontal="center" vertical="center"/>
    </xf>
    <xf numFmtId="167" fontId="0" fillId="0" borderId="1" xfId="2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6" borderId="1" xfId="3" applyFont="1" applyFill="1" applyBorder="1" applyAlignment="1">
      <alignment horizontal="center" vertical="center"/>
    </xf>
    <xf numFmtId="171" fontId="3" fillId="6" borderId="1" xfId="2" applyNumberFormat="1" applyFill="1" applyBorder="1" applyAlignment="1">
      <alignment horizontal="center" vertical="center"/>
    </xf>
    <xf numFmtId="171" fontId="0" fillId="6" borderId="10" xfId="4" applyNumberFormat="1" applyFont="1" applyFill="1" applyBorder="1" applyAlignment="1">
      <alignment horizontal="center" vertical="center"/>
    </xf>
    <xf numFmtId="171" fontId="0" fillId="6" borderId="1" xfId="4" applyNumberFormat="1" applyFont="1" applyFill="1" applyBorder="1" applyAlignment="1">
      <alignment horizontal="center" vertical="center"/>
    </xf>
    <xf numFmtId="172" fontId="3" fillId="6" borderId="1" xfId="2" applyNumberFormat="1" applyFill="1" applyBorder="1" applyAlignment="1">
      <alignment horizontal="center" vertical="center"/>
    </xf>
    <xf numFmtId="0" fontId="1" fillId="6" borderId="1" xfId="3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4" fillId="2" borderId="10" xfId="2" applyFont="1" applyFill="1" applyBorder="1" applyAlignment="1">
      <alignment horizontal="center" vertical="center"/>
    </xf>
    <xf numFmtId="0" fontId="4" fillId="8" borderId="10" xfId="2" applyFont="1" applyFill="1" applyBorder="1" applyAlignment="1">
      <alignment horizontal="center" vertical="center"/>
    </xf>
    <xf numFmtId="0" fontId="4" fillId="8" borderId="28" xfId="2" applyFont="1" applyFill="1" applyBorder="1" applyAlignment="1">
      <alignment horizontal="center" vertical="center"/>
    </xf>
    <xf numFmtId="0" fontId="4" fillId="8" borderId="29" xfId="2" applyFont="1" applyFill="1" applyBorder="1" applyAlignment="1">
      <alignment horizontal="center" vertical="center"/>
    </xf>
    <xf numFmtId="0" fontId="4" fillId="8" borderId="10" xfId="2" applyFont="1" applyFill="1" applyBorder="1" applyAlignment="1">
      <alignment horizontal="center" vertical="center" wrapText="1"/>
    </xf>
  </cellXfs>
  <cellStyles count="6">
    <cellStyle name="Comma [0] 2" xfId="4" xr:uid="{7F3C0886-C8A1-4142-B451-AEE946D95F8F}"/>
    <cellStyle name="Normal" xfId="0" builtinId="0"/>
    <cellStyle name="Normal 2" xfId="5" xr:uid="{BDEC7880-D263-4234-B975-CBCB3FD1576B}"/>
    <cellStyle name="Normal 3" xfId="1" xr:uid="{64C26204-E41D-4A16-B73E-66AEF140C1A7}"/>
    <cellStyle name="Normal 5" xfId="3" xr:uid="{EF3FA1AC-38B4-4279-BD14-F3BF22C7BE3C}"/>
    <cellStyle name="Normal 6" xfId="2" xr:uid="{4BE9E9A0-49A6-43A2-BC9E-AC9B25D40C3C}"/>
  </cellStyles>
  <dxfs count="143">
    <dxf>
      <font>
        <color theme="7" tint="-0.499984740745262"/>
      </font>
      <fill>
        <patternFill patternType="solid">
          <bgColor rgb="FFFFC000"/>
        </patternFill>
      </fill>
    </dxf>
    <dxf>
      <font>
        <color theme="0"/>
      </font>
      <fill>
        <patternFill patternType="solid">
          <bgColor rgb="FF0070C0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theme="1"/>
      </font>
    </dxf>
    <dxf>
      <font>
        <color theme="0"/>
      </font>
      <fill>
        <patternFill patternType="solid">
          <bgColor theme="1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8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8" tint="-0.24994659260841701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8FABDB"/>
        </patternFill>
      </fill>
    </dxf>
    <dxf>
      <font>
        <color theme="0"/>
      </font>
      <fill>
        <patternFill>
          <bgColor theme="1"/>
        </patternFill>
      </fill>
    </dxf>
    <dxf>
      <font>
        <color auto="1"/>
      </font>
      <fill>
        <patternFill>
          <bgColor theme="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8FABDB"/>
        </patternFill>
      </fill>
    </dxf>
    <dxf>
      <font>
        <color theme="1"/>
      </font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ont>
        <color theme="1"/>
      </font>
    </dxf>
    <dxf>
      <font>
        <color theme="0"/>
      </font>
      <fill>
        <patternFill patternType="solid">
          <bgColor theme="1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7" tint="-0.499984740745262"/>
      </font>
      <fill>
        <patternFill patternType="solid">
          <bgColor rgb="FFFFC000"/>
        </patternFill>
      </fill>
    </dxf>
    <dxf>
      <font>
        <color theme="0"/>
      </font>
      <fill>
        <patternFill patternType="solid">
          <bgColor rgb="FF0070C0"/>
        </patternFill>
      </fill>
    </dxf>
    <dxf>
      <font>
        <color theme="0"/>
      </font>
      <fill>
        <patternFill patternType="solid"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theme="1"/>
        </patternFill>
      </fill>
    </dxf>
    <dxf>
      <font>
        <color auto="1"/>
      </font>
      <fill>
        <patternFill>
          <bgColor theme="0"/>
        </patternFill>
      </fill>
    </dxf>
    <dxf>
      <font>
        <color auto="1"/>
      </font>
      <fill>
        <patternFill>
          <bgColor theme="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8FABDB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8FABDB"/>
        </patternFill>
      </fill>
    </dxf>
    <dxf>
      <font>
        <color theme="0"/>
      </font>
      <fill>
        <patternFill>
          <bgColor theme="1"/>
        </patternFill>
      </fill>
    </dxf>
    <dxf>
      <font>
        <color auto="1"/>
      </font>
      <fill>
        <patternFill>
          <bgColor theme="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ont>
        <color theme="1"/>
      </font>
    </dxf>
    <dxf>
      <font>
        <color theme="0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7" tint="-0.499984740745262"/>
      </font>
      <fill>
        <patternFill patternType="solid">
          <bgColor rgb="FFFFC000"/>
        </patternFill>
      </fill>
    </dxf>
    <dxf>
      <font>
        <color theme="0"/>
      </font>
      <fill>
        <patternFill patternType="solid">
          <bgColor rgb="FF0070C0"/>
        </patternFill>
      </fill>
    </dxf>
    <dxf>
      <fill>
        <patternFill>
          <bgColor rgb="FF8FABDB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auto="1"/>
      </font>
      <fill>
        <patternFill>
          <bgColor theme="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theme="1"/>
      </font>
    </dxf>
    <dxf>
      <font>
        <color theme="0"/>
      </font>
      <fill>
        <patternFill patternType="solid">
          <bgColor theme="1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7" tint="-0.499984740745262"/>
      </font>
      <fill>
        <patternFill patternType="solid">
          <bgColor rgb="FFFFC000"/>
        </patternFill>
      </fill>
    </dxf>
    <dxf>
      <font>
        <color theme="0"/>
      </font>
      <fill>
        <patternFill patternType="solid">
          <bgColor rgb="FF0070C0"/>
        </patternFill>
      </fill>
    </dxf>
    <dxf>
      <font>
        <color theme="1"/>
      </font>
    </dxf>
    <dxf>
      <font>
        <color theme="0"/>
      </font>
      <fill>
        <patternFill patternType="solid">
          <bgColor theme="1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color theme="7" tint="-0.499984740745262"/>
      </font>
      <fill>
        <patternFill patternType="solid">
          <bgColor rgb="FFFFC000"/>
        </patternFill>
      </fill>
    </dxf>
    <dxf>
      <font>
        <color theme="0"/>
      </font>
      <fill>
        <patternFill patternType="solid">
          <bgColor rgb="FF0070C0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FF0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1" tint="0.14993743705557422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0070C0"/>
        </patternFill>
      </fill>
    </dxf>
    <dxf>
      <font>
        <color theme="7" tint="-0.499984740745262"/>
      </font>
      <fill>
        <patternFill patternType="solid">
          <bgColor rgb="FFFFC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auto="1"/>
      </font>
      <fill>
        <patternFill>
          <bgColor theme="0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8FAB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8ED36-E8F3-40C9-8DDE-642F6E2C005D}">
  <sheetPr>
    <tabColor rgb="FF92D050"/>
  </sheetPr>
  <dimension ref="B1:AS184"/>
  <sheetViews>
    <sheetView showGridLines="0" tabSelected="1" zoomScale="55" zoomScaleNormal="55" workbookViewId="0">
      <pane xSplit="3" ySplit="1" topLeftCell="D4" activePane="bottomRight" state="frozen"/>
      <selection activeCell="F1" sqref="F1:F2"/>
      <selection pane="topRight" activeCell="F1" sqref="F1:F2"/>
      <selection pane="bottomLeft" activeCell="F1" sqref="F1:F2"/>
      <selection pane="bottomRight" activeCell="E45" sqref="E45"/>
    </sheetView>
  </sheetViews>
  <sheetFormatPr defaultColWidth="9" defaultRowHeight="14.5"/>
  <cols>
    <col min="1" max="1" width="9" customWidth="1"/>
    <col min="2" max="2" width="31.81640625" style="1" customWidth="1"/>
    <col min="3" max="3" width="42.54296875" style="1" customWidth="1"/>
    <col min="4" max="4" width="46.54296875" style="1" customWidth="1"/>
    <col min="5" max="5" width="37.08984375" style="1" customWidth="1"/>
    <col min="6" max="6" width="48.7265625" style="1" bestFit="1" customWidth="1"/>
    <col min="7" max="7" width="24" style="1" customWidth="1"/>
    <col min="8" max="8" width="14.453125" style="1" customWidth="1"/>
    <col min="9" max="38" width="5.7265625" customWidth="1"/>
    <col min="39" max="39" width="20.453125" customWidth="1"/>
    <col min="40" max="40" width="24.90625" customWidth="1"/>
    <col min="41" max="41" width="33.54296875" customWidth="1"/>
    <col min="42" max="42" width="30.81640625" customWidth="1"/>
    <col min="43" max="43" width="15.26953125" customWidth="1"/>
    <col min="44" max="44" width="12.453125" customWidth="1"/>
  </cols>
  <sheetData>
    <row r="1" spans="2:45" ht="22.5" customHeight="1"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97">
        <v>1</v>
      </c>
      <c r="J1" s="97">
        <f>I1+1</f>
        <v>2</v>
      </c>
      <c r="K1" s="97">
        <f t="shared" ref="K1:AK1" si="0">J1+1</f>
        <v>3</v>
      </c>
      <c r="L1" s="97">
        <f t="shared" si="0"/>
        <v>4</v>
      </c>
      <c r="M1" s="97">
        <f t="shared" si="0"/>
        <v>5</v>
      </c>
      <c r="N1" s="97">
        <f t="shared" si="0"/>
        <v>6</v>
      </c>
      <c r="O1" s="97">
        <f t="shared" si="0"/>
        <v>7</v>
      </c>
      <c r="P1" s="97">
        <f t="shared" si="0"/>
        <v>8</v>
      </c>
      <c r="Q1" s="97">
        <f t="shared" si="0"/>
        <v>9</v>
      </c>
      <c r="R1" s="97">
        <f t="shared" si="0"/>
        <v>10</v>
      </c>
      <c r="S1" s="97">
        <f t="shared" si="0"/>
        <v>11</v>
      </c>
      <c r="T1" s="97">
        <f t="shared" si="0"/>
        <v>12</v>
      </c>
      <c r="U1" s="97">
        <f t="shared" si="0"/>
        <v>13</v>
      </c>
      <c r="V1" s="97">
        <f t="shared" si="0"/>
        <v>14</v>
      </c>
      <c r="W1" s="97">
        <f t="shared" si="0"/>
        <v>15</v>
      </c>
      <c r="X1" s="97">
        <f t="shared" si="0"/>
        <v>16</v>
      </c>
      <c r="Y1" s="98">
        <f t="shared" si="0"/>
        <v>17</v>
      </c>
      <c r="Z1" s="97">
        <f t="shared" si="0"/>
        <v>18</v>
      </c>
      <c r="AA1" s="97">
        <f t="shared" si="0"/>
        <v>19</v>
      </c>
      <c r="AB1" s="97">
        <f t="shared" si="0"/>
        <v>20</v>
      </c>
      <c r="AC1" s="97">
        <f t="shared" si="0"/>
        <v>21</v>
      </c>
      <c r="AD1" s="97">
        <f t="shared" si="0"/>
        <v>22</v>
      </c>
      <c r="AE1" s="97">
        <f t="shared" si="0"/>
        <v>23</v>
      </c>
      <c r="AF1" s="97">
        <f t="shared" si="0"/>
        <v>24</v>
      </c>
      <c r="AG1" s="97">
        <f t="shared" si="0"/>
        <v>25</v>
      </c>
      <c r="AH1" s="97">
        <f t="shared" si="0"/>
        <v>26</v>
      </c>
      <c r="AI1" s="97">
        <f t="shared" si="0"/>
        <v>27</v>
      </c>
      <c r="AJ1" s="97">
        <f t="shared" si="0"/>
        <v>28</v>
      </c>
      <c r="AK1" s="97">
        <f t="shared" si="0"/>
        <v>29</v>
      </c>
      <c r="AL1" s="97">
        <v>30</v>
      </c>
      <c r="AO1" s="3" t="s">
        <v>4</v>
      </c>
      <c r="AP1" s="3" t="s">
        <v>8</v>
      </c>
      <c r="AQ1" s="3" t="s">
        <v>9</v>
      </c>
      <c r="AR1" s="3" t="s">
        <v>10</v>
      </c>
    </row>
    <row r="2" spans="2:45" ht="21">
      <c r="B2" s="4">
        <v>110241</v>
      </c>
      <c r="C2" s="5" t="s">
        <v>11</v>
      </c>
      <c r="D2" s="5" t="s">
        <v>109</v>
      </c>
      <c r="E2" s="5" t="s">
        <v>25</v>
      </c>
      <c r="F2" s="5" t="s">
        <v>42</v>
      </c>
      <c r="G2" s="5" t="s">
        <v>59</v>
      </c>
      <c r="H2" s="5">
        <f>IFERROR(MOD(14-(MATCH("OFF",I2:AL2,0)-1)-1,14)+1,"1")</f>
        <v>2</v>
      </c>
      <c r="I2" s="6" t="s">
        <v>16</v>
      </c>
      <c r="J2" s="6" t="s">
        <v>16</v>
      </c>
      <c r="K2" s="6" t="s">
        <v>16</v>
      </c>
      <c r="L2" s="6" t="s">
        <v>0</v>
      </c>
      <c r="M2" s="6" t="s">
        <v>0</v>
      </c>
      <c r="N2" s="6" t="s">
        <v>0</v>
      </c>
      <c r="O2" s="6" t="s">
        <v>0</v>
      </c>
      <c r="P2" s="6" t="s">
        <v>0</v>
      </c>
      <c r="Q2" s="6" t="s">
        <v>27</v>
      </c>
      <c r="R2" s="6" t="s">
        <v>0</v>
      </c>
      <c r="S2" s="6" t="s">
        <v>0</v>
      </c>
      <c r="T2" s="6" t="s">
        <v>0</v>
      </c>
      <c r="U2" s="6" t="s">
        <v>15</v>
      </c>
      <c r="V2" s="6" t="s">
        <v>0</v>
      </c>
      <c r="W2" s="6" t="s">
        <v>0</v>
      </c>
      <c r="X2" s="6" t="s">
        <v>0</v>
      </c>
      <c r="Y2" s="7" t="s">
        <v>0</v>
      </c>
      <c r="Z2" s="6" t="s">
        <v>0</v>
      </c>
      <c r="AA2" s="6" t="s">
        <v>0</v>
      </c>
      <c r="AB2" s="6" t="s">
        <v>0</v>
      </c>
      <c r="AC2" s="6" t="s">
        <v>0</v>
      </c>
      <c r="AD2" s="6" t="s">
        <v>0</v>
      </c>
      <c r="AE2" s="6" t="s">
        <v>0</v>
      </c>
      <c r="AF2" s="6" t="s">
        <v>0</v>
      </c>
      <c r="AG2" s="6" t="s">
        <v>0</v>
      </c>
      <c r="AH2" s="6" t="s">
        <v>0</v>
      </c>
      <c r="AI2" s="6" t="s">
        <v>15</v>
      </c>
      <c r="AJ2" s="6" t="s">
        <v>0</v>
      </c>
      <c r="AK2" s="6" t="s">
        <v>0</v>
      </c>
      <c r="AL2" s="6" t="s">
        <v>0</v>
      </c>
      <c r="AM2" s="8"/>
      <c r="AN2" s="9"/>
      <c r="AO2" s="10" t="s">
        <v>17</v>
      </c>
      <c r="AP2" s="10" t="str">
        <f>AO2&amp;"D"</f>
        <v>ADMIND</v>
      </c>
      <c r="AQ2" s="11">
        <v>0.27083333333333298</v>
      </c>
      <c r="AR2" s="11">
        <v>0.6875</v>
      </c>
      <c r="AS2" s="9"/>
    </row>
    <row r="3" spans="2:45" ht="21">
      <c r="B3" s="4">
        <v>207231</v>
      </c>
      <c r="C3" s="5" t="s">
        <v>18</v>
      </c>
      <c r="D3" s="5" t="s">
        <v>110</v>
      </c>
      <c r="E3" s="5" t="s">
        <v>19</v>
      </c>
      <c r="F3" s="5" t="s">
        <v>57</v>
      </c>
      <c r="G3" s="5" t="s">
        <v>14</v>
      </c>
      <c r="H3" s="5">
        <f t="shared" ref="H3:H50" si="1">IFERROR(MOD(14-(MATCH("OFF",I3:AL3,0)-1)-1,14)+1,"1")</f>
        <v>10</v>
      </c>
      <c r="I3" s="6" t="s">
        <v>0</v>
      </c>
      <c r="J3" s="6" t="s">
        <v>0</v>
      </c>
      <c r="K3" s="6" t="s">
        <v>0</v>
      </c>
      <c r="L3" s="6" t="s">
        <v>0</v>
      </c>
      <c r="M3" s="6" t="s">
        <v>15</v>
      </c>
      <c r="N3" s="6" t="s">
        <v>0</v>
      </c>
      <c r="O3" s="6" t="s">
        <v>0</v>
      </c>
      <c r="P3" s="6" t="s">
        <v>0</v>
      </c>
      <c r="Q3" s="6" t="s">
        <v>0</v>
      </c>
      <c r="R3" s="6" t="s">
        <v>0</v>
      </c>
      <c r="S3" s="6" t="s">
        <v>0</v>
      </c>
      <c r="T3" s="6" t="s">
        <v>0</v>
      </c>
      <c r="U3" s="6" t="s">
        <v>0</v>
      </c>
      <c r="V3" s="6" t="s">
        <v>0</v>
      </c>
      <c r="W3" s="6" t="s">
        <v>0</v>
      </c>
      <c r="X3" s="6" t="s">
        <v>0</v>
      </c>
      <c r="Y3" s="7" t="s">
        <v>16</v>
      </c>
      <c r="Z3" s="6" t="s">
        <v>16</v>
      </c>
      <c r="AA3" s="6" t="s">
        <v>16</v>
      </c>
      <c r="AB3" s="6" t="s">
        <v>16</v>
      </c>
      <c r="AC3" s="6" t="s">
        <v>16</v>
      </c>
      <c r="AD3" s="6" t="s">
        <v>16</v>
      </c>
      <c r="AE3" s="6" t="s">
        <v>16</v>
      </c>
      <c r="AF3" s="6" t="s">
        <v>16</v>
      </c>
      <c r="AG3" s="6" t="s">
        <v>16</v>
      </c>
      <c r="AH3" s="6" t="s">
        <v>16</v>
      </c>
      <c r="AI3" s="6" t="s">
        <v>16</v>
      </c>
      <c r="AJ3" s="6" t="s">
        <v>16</v>
      </c>
      <c r="AK3" s="6" t="s">
        <v>16</v>
      </c>
      <c r="AL3" s="6" t="s">
        <v>16</v>
      </c>
      <c r="AM3" s="8"/>
      <c r="AO3" s="10" t="s">
        <v>19</v>
      </c>
      <c r="AP3" s="10" t="str">
        <f t="shared" ref="AP3:AP6" si="2">AO3&amp;"D"</f>
        <v>ADMIN PROCUREMENTD</v>
      </c>
      <c r="AQ3" s="11">
        <v>0.27083333333333298</v>
      </c>
      <c r="AR3" s="11">
        <v>0.6875</v>
      </c>
    </row>
    <row r="4" spans="2:45" ht="21">
      <c r="B4" s="4">
        <v>200509255</v>
      </c>
      <c r="C4" s="5" t="s">
        <v>20</v>
      </c>
      <c r="D4" s="5" t="s">
        <v>111</v>
      </c>
      <c r="E4" s="5" t="s">
        <v>23</v>
      </c>
      <c r="F4" s="5" t="s">
        <v>54</v>
      </c>
      <c r="G4" s="5" t="s">
        <v>14</v>
      </c>
      <c r="H4" s="5">
        <f t="shared" si="1"/>
        <v>9</v>
      </c>
      <c r="I4" s="6" t="s">
        <v>0</v>
      </c>
      <c r="J4" s="6" t="s">
        <v>0</v>
      </c>
      <c r="K4" s="6" t="s">
        <v>0</v>
      </c>
      <c r="L4" s="6" t="s">
        <v>0</v>
      </c>
      <c r="M4" s="6" t="s">
        <v>0</v>
      </c>
      <c r="N4" s="6" t="s">
        <v>15</v>
      </c>
      <c r="O4" s="6" t="s">
        <v>0</v>
      </c>
      <c r="P4" s="6" t="s">
        <v>0</v>
      </c>
      <c r="Q4" s="6" t="s">
        <v>0</v>
      </c>
      <c r="R4" s="6" t="s">
        <v>0</v>
      </c>
      <c r="S4" s="6" t="s">
        <v>0</v>
      </c>
      <c r="T4" s="6" t="s">
        <v>0</v>
      </c>
      <c r="U4" s="6" t="s">
        <v>0</v>
      </c>
      <c r="V4" s="6" t="s">
        <v>0</v>
      </c>
      <c r="W4" s="6" t="s">
        <v>0</v>
      </c>
      <c r="X4" s="6" t="s">
        <v>0</v>
      </c>
      <c r="Y4" s="7" t="s">
        <v>0</v>
      </c>
      <c r="Z4" s="6" t="s">
        <v>0</v>
      </c>
      <c r="AA4" s="6" t="s">
        <v>0</v>
      </c>
      <c r="AB4" s="6" t="s">
        <v>0</v>
      </c>
      <c r="AC4" s="6" t="s">
        <v>0</v>
      </c>
      <c r="AD4" s="6" t="s">
        <v>0</v>
      </c>
      <c r="AE4" s="6" t="s">
        <v>0</v>
      </c>
      <c r="AF4" s="6" t="s">
        <v>0</v>
      </c>
      <c r="AG4" s="6" t="s">
        <v>0</v>
      </c>
      <c r="AH4" s="6" t="s">
        <v>15</v>
      </c>
      <c r="AI4" s="6" t="s">
        <v>16</v>
      </c>
      <c r="AJ4" s="6" t="s">
        <v>16</v>
      </c>
      <c r="AK4" s="6" t="s">
        <v>16</v>
      </c>
      <c r="AL4" s="6" t="s">
        <v>16</v>
      </c>
      <c r="AM4" s="8"/>
      <c r="AN4" s="9"/>
      <c r="AO4" s="10" t="s">
        <v>12</v>
      </c>
      <c r="AP4" s="10" t="str">
        <f t="shared" si="2"/>
        <v>FUELMAND</v>
      </c>
      <c r="AQ4" s="11">
        <v>0.25</v>
      </c>
      <c r="AR4" s="11">
        <v>0.75</v>
      </c>
    </row>
    <row r="5" spans="2:45" ht="21">
      <c r="B5" s="4">
        <v>603222</v>
      </c>
      <c r="C5" s="12" t="s">
        <v>21</v>
      </c>
      <c r="D5" s="5" t="s">
        <v>112</v>
      </c>
      <c r="E5" s="5" t="s">
        <v>23</v>
      </c>
      <c r="F5" s="5" t="s">
        <v>46</v>
      </c>
      <c r="G5" s="5" t="s">
        <v>14</v>
      </c>
      <c r="H5" s="5">
        <f t="shared" si="1"/>
        <v>7</v>
      </c>
      <c r="I5" s="6" t="s">
        <v>0</v>
      </c>
      <c r="J5" s="6" t="s">
        <v>0</v>
      </c>
      <c r="K5" s="6" t="s">
        <v>22</v>
      </c>
      <c r="L5" s="6" t="s">
        <v>22</v>
      </c>
      <c r="M5" s="6" t="s">
        <v>22</v>
      </c>
      <c r="N5" s="6" t="s">
        <v>22</v>
      </c>
      <c r="O5" s="6" t="s">
        <v>22</v>
      </c>
      <c r="P5" s="6" t="s">
        <v>15</v>
      </c>
      <c r="Q5" s="6" t="s">
        <v>0</v>
      </c>
      <c r="R5" s="6" t="s">
        <v>0</v>
      </c>
      <c r="S5" s="6" t="s">
        <v>0</v>
      </c>
      <c r="T5" s="6" t="s">
        <v>0</v>
      </c>
      <c r="U5" s="6" t="s">
        <v>0</v>
      </c>
      <c r="V5" s="6" t="s">
        <v>0</v>
      </c>
      <c r="W5" s="6" t="s">
        <v>0</v>
      </c>
      <c r="X5" s="6" t="s">
        <v>0</v>
      </c>
      <c r="Y5" s="7" t="s">
        <v>22</v>
      </c>
      <c r="Z5" s="6" t="s">
        <v>22</v>
      </c>
      <c r="AA5" s="6" t="s">
        <v>22</v>
      </c>
      <c r="AB5" s="6" t="s">
        <v>22</v>
      </c>
      <c r="AC5" s="6" t="s">
        <v>22</v>
      </c>
      <c r="AD5" s="6" t="s">
        <v>15</v>
      </c>
      <c r="AE5" s="6" t="s">
        <v>0</v>
      </c>
      <c r="AF5" s="6" t="s">
        <v>0</v>
      </c>
      <c r="AG5" s="6" t="s">
        <v>0</v>
      </c>
      <c r="AH5" s="6" t="s">
        <v>0</v>
      </c>
      <c r="AI5" s="6" t="s">
        <v>0</v>
      </c>
      <c r="AJ5" s="6" t="s">
        <v>0</v>
      </c>
      <c r="AK5" s="6" t="s">
        <v>0</v>
      </c>
      <c r="AL5" s="6" t="s">
        <v>0</v>
      </c>
      <c r="AM5" s="8"/>
      <c r="AO5" s="10" t="s">
        <v>23</v>
      </c>
      <c r="AP5" s="10" t="str">
        <f t="shared" si="2"/>
        <v>FIELD SUPPORTD</v>
      </c>
      <c r="AQ5" s="11">
        <v>0.27083333333333298</v>
      </c>
      <c r="AR5" s="11">
        <v>0.75</v>
      </c>
    </row>
    <row r="6" spans="2:45" ht="21">
      <c r="B6" s="4">
        <v>1906253</v>
      </c>
      <c r="C6" s="12" t="s">
        <v>24</v>
      </c>
      <c r="D6" s="5" t="s">
        <v>112</v>
      </c>
      <c r="E6" s="5" t="s">
        <v>23</v>
      </c>
      <c r="F6" s="5" t="s">
        <v>46</v>
      </c>
      <c r="G6" s="5" t="s">
        <v>14</v>
      </c>
      <c r="H6" s="5">
        <f t="shared" si="1"/>
        <v>1</v>
      </c>
      <c r="I6" s="6" t="s">
        <v>16</v>
      </c>
      <c r="J6" s="6" t="s">
        <v>16</v>
      </c>
      <c r="K6" s="6" t="s">
        <v>16</v>
      </c>
      <c r="L6" s="6" t="s">
        <v>16</v>
      </c>
      <c r="M6" s="6" t="s">
        <v>16</v>
      </c>
      <c r="N6" s="6" t="s">
        <v>16</v>
      </c>
      <c r="O6" s="6" t="s">
        <v>16</v>
      </c>
      <c r="P6" s="6" t="s">
        <v>0</v>
      </c>
      <c r="Q6" s="6" t="s">
        <v>0</v>
      </c>
      <c r="R6" s="6" t="s">
        <v>22</v>
      </c>
      <c r="S6" s="6" t="s">
        <v>22</v>
      </c>
      <c r="T6" s="6" t="s">
        <v>22</v>
      </c>
      <c r="U6" s="6" t="s">
        <v>22</v>
      </c>
      <c r="V6" s="6" t="s">
        <v>15</v>
      </c>
      <c r="W6" s="6" t="s">
        <v>0</v>
      </c>
      <c r="X6" s="6" t="s">
        <v>0</v>
      </c>
      <c r="Y6" s="7" t="s">
        <v>0</v>
      </c>
      <c r="Z6" s="6" t="s">
        <v>0</v>
      </c>
      <c r="AA6" s="6" t="s">
        <v>0</v>
      </c>
      <c r="AB6" s="6" t="s">
        <v>0</v>
      </c>
      <c r="AC6" s="6" t="s">
        <v>0</v>
      </c>
      <c r="AD6" s="6" t="s">
        <v>0</v>
      </c>
      <c r="AE6" s="6" t="s">
        <v>0</v>
      </c>
      <c r="AF6" s="6" t="s">
        <v>22</v>
      </c>
      <c r="AG6" s="6" t="s">
        <v>22</v>
      </c>
      <c r="AH6" s="6" t="s">
        <v>22</v>
      </c>
      <c r="AI6" s="6" t="s">
        <v>22</v>
      </c>
      <c r="AJ6" s="6" t="s">
        <v>15</v>
      </c>
      <c r="AK6" s="6" t="s">
        <v>0</v>
      </c>
      <c r="AL6" s="6" t="s">
        <v>0</v>
      </c>
      <c r="AM6" s="8"/>
      <c r="AO6" s="10" t="s">
        <v>25</v>
      </c>
      <c r="AP6" s="10" t="str">
        <f t="shared" si="2"/>
        <v>ADMIN FOGD</v>
      </c>
      <c r="AQ6" s="11">
        <v>0.25</v>
      </c>
      <c r="AR6" s="11">
        <v>0.75</v>
      </c>
    </row>
    <row r="7" spans="2:45" ht="21">
      <c r="B7" s="4">
        <v>1705261</v>
      </c>
      <c r="C7" s="12" t="s">
        <v>26</v>
      </c>
      <c r="D7" s="5" t="s">
        <v>112</v>
      </c>
      <c r="E7" s="5" t="s">
        <v>23</v>
      </c>
      <c r="F7" s="5" t="s">
        <v>46</v>
      </c>
      <c r="G7" s="5" t="s">
        <v>14</v>
      </c>
      <c r="H7" s="5">
        <f t="shared" si="1"/>
        <v>5</v>
      </c>
      <c r="I7" s="6" t="s">
        <v>0</v>
      </c>
      <c r="J7" s="6" t="s">
        <v>0</v>
      </c>
      <c r="K7" s="6" t="s">
        <v>0</v>
      </c>
      <c r="L7" s="6" t="s">
        <v>0</v>
      </c>
      <c r="M7" s="6" t="s">
        <v>22</v>
      </c>
      <c r="N7" s="6" t="s">
        <v>22</v>
      </c>
      <c r="O7" s="6" t="s">
        <v>22</v>
      </c>
      <c r="P7" s="6" t="s">
        <v>22</v>
      </c>
      <c r="Q7" s="6" t="s">
        <v>22</v>
      </c>
      <c r="R7" s="6" t="s">
        <v>96</v>
      </c>
      <c r="S7" s="6" t="s">
        <v>0</v>
      </c>
      <c r="T7" s="6" t="s">
        <v>0</v>
      </c>
      <c r="U7" s="6" t="s">
        <v>0</v>
      </c>
      <c r="V7" s="6" t="s">
        <v>0</v>
      </c>
      <c r="W7" s="6" t="s">
        <v>0</v>
      </c>
      <c r="X7" s="6" t="s">
        <v>0</v>
      </c>
      <c r="Y7" s="7" t="s">
        <v>0</v>
      </c>
      <c r="Z7" s="6" t="s">
        <v>0</v>
      </c>
      <c r="AA7" s="6" t="s">
        <v>22</v>
      </c>
      <c r="AB7" s="6" t="s">
        <v>22</v>
      </c>
      <c r="AC7" s="6" t="s">
        <v>22</v>
      </c>
      <c r="AD7" s="6" t="s">
        <v>22</v>
      </c>
      <c r="AE7" s="6" t="s">
        <v>22</v>
      </c>
      <c r="AF7" s="6" t="s">
        <v>15</v>
      </c>
      <c r="AG7" s="6" t="s">
        <v>0</v>
      </c>
      <c r="AH7" s="6" t="s">
        <v>0</v>
      </c>
      <c r="AI7" s="6" t="s">
        <v>0</v>
      </c>
      <c r="AJ7" s="6" t="s">
        <v>0</v>
      </c>
      <c r="AK7" s="6" t="s">
        <v>0</v>
      </c>
      <c r="AL7" s="6" t="s">
        <v>0</v>
      </c>
      <c r="AM7" s="8"/>
    </row>
    <row r="8" spans="2:45" ht="21">
      <c r="B8" s="4">
        <v>2103223</v>
      </c>
      <c r="C8" s="12" t="s">
        <v>28</v>
      </c>
      <c r="D8" s="5" t="s">
        <v>112</v>
      </c>
      <c r="E8" s="5" t="s">
        <v>23</v>
      </c>
      <c r="F8" s="5" t="s">
        <v>46</v>
      </c>
      <c r="G8" s="5" t="s">
        <v>14</v>
      </c>
      <c r="H8" s="5" t="str">
        <f t="shared" si="1"/>
        <v>1</v>
      </c>
      <c r="I8" s="6" t="s">
        <v>0</v>
      </c>
      <c r="J8" s="6" t="s">
        <v>0</v>
      </c>
      <c r="K8" s="6" t="s">
        <v>0</v>
      </c>
      <c r="L8" s="6" t="s">
        <v>0</v>
      </c>
      <c r="M8" s="6" t="s">
        <v>16</v>
      </c>
      <c r="N8" s="6" t="s">
        <v>16</v>
      </c>
      <c r="O8" s="6" t="s">
        <v>16</v>
      </c>
      <c r="P8" s="6" t="s">
        <v>16</v>
      </c>
      <c r="Q8" s="6" t="s">
        <v>16</v>
      </c>
      <c r="R8" s="6" t="s">
        <v>16</v>
      </c>
      <c r="S8" s="6" t="s">
        <v>16</v>
      </c>
      <c r="T8" s="6" t="s">
        <v>16</v>
      </c>
      <c r="U8" s="6" t="s">
        <v>16</v>
      </c>
      <c r="V8" s="6" t="s">
        <v>16</v>
      </c>
      <c r="W8" s="6" t="s">
        <v>16</v>
      </c>
      <c r="X8" s="6" t="s">
        <v>16</v>
      </c>
      <c r="Y8" s="7" t="s">
        <v>16</v>
      </c>
      <c r="Z8" s="6" t="s">
        <v>16</v>
      </c>
      <c r="AA8" s="6" t="s">
        <v>16</v>
      </c>
      <c r="AB8" s="6" t="s">
        <v>16</v>
      </c>
      <c r="AC8" s="6" t="s">
        <v>16</v>
      </c>
      <c r="AD8" s="6" t="s">
        <v>0</v>
      </c>
      <c r="AE8" s="6" t="s">
        <v>0</v>
      </c>
      <c r="AF8" s="6" t="s">
        <v>0</v>
      </c>
      <c r="AG8" s="6" t="s">
        <v>0</v>
      </c>
      <c r="AH8" s="6" t="s">
        <v>22</v>
      </c>
      <c r="AI8" s="6" t="s">
        <v>22</v>
      </c>
      <c r="AJ8" s="6" t="s">
        <v>22</v>
      </c>
      <c r="AK8" s="6" t="s">
        <v>22</v>
      </c>
      <c r="AL8" s="6" t="s">
        <v>22</v>
      </c>
      <c r="AM8" s="8"/>
      <c r="AO8" s="10" t="s">
        <v>17</v>
      </c>
      <c r="AP8" s="10" t="str">
        <f>AO8&amp;"N"</f>
        <v>ADMINN</v>
      </c>
      <c r="AQ8" s="11"/>
      <c r="AR8" s="13"/>
    </row>
    <row r="9" spans="2:45" ht="21">
      <c r="B9" s="4">
        <v>1611241</v>
      </c>
      <c r="C9" s="12" t="s">
        <v>29</v>
      </c>
      <c r="D9" s="5" t="s">
        <v>112</v>
      </c>
      <c r="E9" s="5" t="s">
        <v>23</v>
      </c>
      <c r="F9" s="5" t="s">
        <v>46</v>
      </c>
      <c r="G9" s="5" t="s">
        <v>14</v>
      </c>
      <c r="H9" s="5">
        <f t="shared" si="1"/>
        <v>10</v>
      </c>
      <c r="I9" s="6" t="s">
        <v>22</v>
      </c>
      <c r="J9" s="6" t="s">
        <v>22</v>
      </c>
      <c r="K9" s="6" t="s">
        <v>22</v>
      </c>
      <c r="L9" s="6" t="s">
        <v>22</v>
      </c>
      <c r="M9" s="6" t="s">
        <v>15</v>
      </c>
      <c r="N9" s="6" t="s">
        <v>0</v>
      </c>
      <c r="O9" s="6" t="s">
        <v>0</v>
      </c>
      <c r="P9" s="6" t="s">
        <v>0</v>
      </c>
      <c r="Q9" s="6" t="s">
        <v>0</v>
      </c>
      <c r="R9" s="6" t="s">
        <v>0</v>
      </c>
      <c r="S9" s="6" t="s">
        <v>0</v>
      </c>
      <c r="T9" s="6" t="s">
        <v>0</v>
      </c>
      <c r="U9" s="6" t="s">
        <v>0</v>
      </c>
      <c r="V9" s="6" t="s">
        <v>22</v>
      </c>
      <c r="W9" s="6" t="s">
        <v>22</v>
      </c>
      <c r="X9" s="6" t="s">
        <v>22</v>
      </c>
      <c r="Y9" s="6" t="s">
        <v>22</v>
      </c>
      <c r="Z9" s="6" t="s">
        <v>22</v>
      </c>
      <c r="AA9" s="6" t="s">
        <v>15</v>
      </c>
      <c r="AB9" s="6" t="s">
        <v>0</v>
      </c>
      <c r="AC9" s="6" t="s">
        <v>0</v>
      </c>
      <c r="AD9" s="6" t="s">
        <v>0</v>
      </c>
      <c r="AE9" s="6" t="s">
        <v>0</v>
      </c>
      <c r="AF9" s="6" t="s">
        <v>0</v>
      </c>
      <c r="AG9" s="6" t="s">
        <v>0</v>
      </c>
      <c r="AH9" s="6" t="s">
        <v>0</v>
      </c>
      <c r="AI9" s="6" t="s">
        <v>0</v>
      </c>
      <c r="AJ9" s="6" t="s">
        <v>22</v>
      </c>
      <c r="AK9" s="6" t="s">
        <v>22</v>
      </c>
      <c r="AL9" s="6" t="s">
        <v>22</v>
      </c>
      <c r="AM9" s="8"/>
      <c r="AO9" s="10" t="s">
        <v>19</v>
      </c>
      <c r="AP9" s="10" t="str">
        <f t="shared" ref="AP9:AP13" si="3">AO9&amp;"N"</f>
        <v>ADMIN PROCUREMENTN</v>
      </c>
      <c r="AQ9" s="11"/>
      <c r="AR9" s="11"/>
    </row>
    <row r="10" spans="2:45" ht="21">
      <c r="B10" s="4">
        <v>2006251</v>
      </c>
      <c r="C10" s="12" t="s">
        <v>30</v>
      </c>
      <c r="D10" s="5" t="s">
        <v>112</v>
      </c>
      <c r="E10" s="5" t="s">
        <v>23</v>
      </c>
      <c r="F10" s="5" t="s">
        <v>46</v>
      </c>
      <c r="G10" s="5" t="s">
        <v>14</v>
      </c>
      <c r="H10" s="5">
        <f t="shared" si="1"/>
        <v>12</v>
      </c>
      <c r="I10" s="6" t="s">
        <v>22</v>
      </c>
      <c r="J10" s="6" t="s">
        <v>22</v>
      </c>
      <c r="K10" s="6" t="s">
        <v>15</v>
      </c>
      <c r="L10" s="6" t="s">
        <v>0</v>
      </c>
      <c r="M10" s="6" t="s">
        <v>0</v>
      </c>
      <c r="N10" s="6" t="s">
        <v>0</v>
      </c>
      <c r="O10" s="6" t="s">
        <v>0</v>
      </c>
      <c r="P10" s="6" t="s">
        <v>0</v>
      </c>
      <c r="Q10" s="6" t="s">
        <v>0</v>
      </c>
      <c r="R10" s="6" t="s">
        <v>0</v>
      </c>
      <c r="S10" s="6" t="s">
        <v>0</v>
      </c>
      <c r="T10" s="6" t="s">
        <v>22</v>
      </c>
      <c r="U10" s="6" t="s">
        <v>22</v>
      </c>
      <c r="V10" s="6" t="s">
        <v>22</v>
      </c>
      <c r="W10" s="6" t="s">
        <v>22</v>
      </c>
      <c r="X10" s="6" t="s">
        <v>22</v>
      </c>
      <c r="Y10" s="7" t="s">
        <v>15</v>
      </c>
      <c r="Z10" s="6" t="s">
        <v>0</v>
      </c>
      <c r="AA10" s="6" t="s">
        <v>0</v>
      </c>
      <c r="AB10" s="6" t="s">
        <v>16</v>
      </c>
      <c r="AC10" s="6" t="s">
        <v>16</v>
      </c>
      <c r="AD10" s="6" t="s">
        <v>16</v>
      </c>
      <c r="AE10" s="6" t="s">
        <v>16</v>
      </c>
      <c r="AF10" s="6" t="s">
        <v>16</v>
      </c>
      <c r="AG10" s="6" t="s">
        <v>16</v>
      </c>
      <c r="AH10" s="6" t="s">
        <v>16</v>
      </c>
      <c r="AI10" s="6" t="s">
        <v>16</v>
      </c>
      <c r="AJ10" s="6" t="s">
        <v>16</v>
      </c>
      <c r="AK10" s="6" t="s">
        <v>16</v>
      </c>
      <c r="AL10" s="6" t="s">
        <v>16</v>
      </c>
      <c r="AM10" s="8"/>
      <c r="AO10" s="10" t="s">
        <v>31</v>
      </c>
      <c r="AP10" s="10" t="str">
        <f t="shared" si="3"/>
        <v>OILMANN</v>
      </c>
      <c r="AQ10" s="11">
        <v>0.75</v>
      </c>
      <c r="AR10" s="11">
        <v>0.25</v>
      </c>
    </row>
    <row r="11" spans="2:45" ht="21">
      <c r="B11" s="4">
        <v>1912241</v>
      </c>
      <c r="C11" s="12" t="s">
        <v>32</v>
      </c>
      <c r="D11" s="5" t="s">
        <v>113</v>
      </c>
      <c r="E11" s="5" t="s">
        <v>23</v>
      </c>
      <c r="F11" s="5" t="s">
        <v>46</v>
      </c>
      <c r="G11" s="5" t="s">
        <v>59</v>
      </c>
      <c r="H11" s="5">
        <f t="shared" si="1"/>
        <v>14</v>
      </c>
      <c r="I11" s="6" t="s">
        <v>97</v>
      </c>
      <c r="J11" s="6" t="s">
        <v>97</v>
      </c>
      <c r="K11" s="6" t="s">
        <v>97</v>
      </c>
      <c r="L11" s="6" t="s">
        <v>0</v>
      </c>
      <c r="M11" s="6" t="s">
        <v>0</v>
      </c>
      <c r="N11" s="6" t="s">
        <v>0</v>
      </c>
      <c r="O11" s="6" t="s">
        <v>0</v>
      </c>
      <c r="P11" s="6" t="s">
        <v>22</v>
      </c>
      <c r="Q11" s="6" t="s">
        <v>22</v>
      </c>
      <c r="R11" s="6" t="s">
        <v>22</v>
      </c>
      <c r="S11" s="6" t="s">
        <v>22</v>
      </c>
      <c r="T11" s="6" t="s">
        <v>22</v>
      </c>
      <c r="U11" s="6" t="s">
        <v>22</v>
      </c>
      <c r="V11" s="6" t="s">
        <v>22</v>
      </c>
      <c r="W11" s="6" t="s">
        <v>15</v>
      </c>
      <c r="X11" s="6" t="s">
        <v>0</v>
      </c>
      <c r="Y11" s="7" t="s">
        <v>0</v>
      </c>
      <c r="Z11" s="6" t="s">
        <v>0</v>
      </c>
      <c r="AA11" s="6" t="s">
        <v>0</v>
      </c>
      <c r="AB11" s="6" t="s">
        <v>0</v>
      </c>
      <c r="AC11" s="6" t="s">
        <v>0</v>
      </c>
      <c r="AD11" s="6" t="s">
        <v>22</v>
      </c>
      <c r="AE11" s="6" t="s">
        <v>22</v>
      </c>
      <c r="AF11" s="6" t="s">
        <v>22</v>
      </c>
      <c r="AG11" s="6" t="s">
        <v>22</v>
      </c>
      <c r="AH11" s="6" t="s">
        <v>22</v>
      </c>
      <c r="AI11" s="6" t="s">
        <v>22</v>
      </c>
      <c r="AJ11" s="6" t="s">
        <v>22</v>
      </c>
      <c r="AK11" s="6" t="s">
        <v>15</v>
      </c>
      <c r="AL11" s="6" t="s">
        <v>16</v>
      </c>
      <c r="AM11" s="8"/>
      <c r="AO11" s="10" t="s">
        <v>12</v>
      </c>
      <c r="AP11" s="10" t="str">
        <f t="shared" si="3"/>
        <v>FUELMANN</v>
      </c>
      <c r="AQ11" s="11">
        <v>0.75</v>
      </c>
      <c r="AR11" s="11">
        <v>0.25</v>
      </c>
    </row>
    <row r="12" spans="2:45" ht="21">
      <c r="B12" s="4">
        <v>1004255</v>
      </c>
      <c r="C12" s="12" t="s">
        <v>33</v>
      </c>
      <c r="D12" s="5" t="s">
        <v>113</v>
      </c>
      <c r="E12" s="5" t="s">
        <v>23</v>
      </c>
      <c r="F12" s="5" t="s">
        <v>46</v>
      </c>
      <c r="G12" s="5" t="s">
        <v>59</v>
      </c>
      <c r="H12" s="5">
        <f t="shared" si="1"/>
        <v>1</v>
      </c>
      <c r="I12" s="6" t="s">
        <v>0</v>
      </c>
      <c r="J12" s="6" t="s">
        <v>0</v>
      </c>
      <c r="K12" s="6" t="s">
        <v>0</v>
      </c>
      <c r="L12" s="6" t="s">
        <v>0</v>
      </c>
      <c r="M12" s="6" t="s">
        <v>0</v>
      </c>
      <c r="N12" s="6" t="s">
        <v>0</v>
      </c>
      <c r="O12" s="6" t="s">
        <v>22</v>
      </c>
      <c r="P12" s="6" t="s">
        <v>22</v>
      </c>
      <c r="Q12" s="6" t="s">
        <v>22</v>
      </c>
      <c r="R12" s="6" t="s">
        <v>22</v>
      </c>
      <c r="S12" s="6" t="s">
        <v>22</v>
      </c>
      <c r="T12" s="6" t="s">
        <v>22</v>
      </c>
      <c r="U12" s="6" t="s">
        <v>22</v>
      </c>
      <c r="V12" s="6" t="s">
        <v>15</v>
      </c>
      <c r="W12" s="6" t="s">
        <v>0</v>
      </c>
      <c r="X12" s="6" t="s">
        <v>0</v>
      </c>
      <c r="Y12" s="7" t="s">
        <v>0</v>
      </c>
      <c r="Z12" s="6" t="s">
        <v>0</v>
      </c>
      <c r="AA12" s="6" t="s">
        <v>0</v>
      </c>
      <c r="AB12" s="6" t="s">
        <v>0</v>
      </c>
      <c r="AC12" s="6" t="s">
        <v>22</v>
      </c>
      <c r="AD12" s="6" t="s">
        <v>22</v>
      </c>
      <c r="AE12" s="6" t="s">
        <v>22</v>
      </c>
      <c r="AF12" s="6" t="s">
        <v>22</v>
      </c>
      <c r="AG12" s="6" t="s">
        <v>22</v>
      </c>
      <c r="AH12" s="6" t="s">
        <v>22</v>
      </c>
      <c r="AI12" s="6" t="s">
        <v>22</v>
      </c>
      <c r="AJ12" s="6" t="s">
        <v>15</v>
      </c>
      <c r="AK12" s="6" t="s">
        <v>0</v>
      </c>
      <c r="AL12" s="6" t="s">
        <v>0</v>
      </c>
      <c r="AM12" s="8"/>
      <c r="AO12" s="10" t="s">
        <v>23</v>
      </c>
      <c r="AP12" s="10" t="str">
        <f t="shared" si="3"/>
        <v>FIELD SUPPORTN</v>
      </c>
      <c r="AQ12" s="11">
        <v>0.79166666666666696</v>
      </c>
      <c r="AR12" s="11">
        <v>0.27083333333333298</v>
      </c>
      <c r="AS12" s="14"/>
    </row>
    <row r="13" spans="2:45" ht="21">
      <c r="B13" s="4">
        <v>1004254</v>
      </c>
      <c r="C13" s="12" t="s">
        <v>35</v>
      </c>
      <c r="D13" s="5" t="s">
        <v>113</v>
      </c>
      <c r="E13" s="5" t="s">
        <v>23</v>
      </c>
      <c r="F13" s="5" t="s">
        <v>46</v>
      </c>
      <c r="G13" s="5" t="s">
        <v>59</v>
      </c>
      <c r="H13" s="5">
        <f t="shared" si="1"/>
        <v>8</v>
      </c>
      <c r="I13" s="6" t="s">
        <v>22</v>
      </c>
      <c r="J13" s="6" t="s">
        <v>22</v>
      </c>
      <c r="K13" s="6" t="s">
        <v>22</v>
      </c>
      <c r="L13" s="6" t="s">
        <v>22</v>
      </c>
      <c r="M13" s="6" t="s">
        <v>22</v>
      </c>
      <c r="N13" s="6" t="s">
        <v>22</v>
      </c>
      <c r="O13" s="6" t="s">
        <v>15</v>
      </c>
      <c r="P13" s="6" t="s">
        <v>0</v>
      </c>
      <c r="Q13" s="6" t="s">
        <v>0</v>
      </c>
      <c r="R13" s="6" t="s">
        <v>0</v>
      </c>
      <c r="S13" s="6" t="s">
        <v>0</v>
      </c>
      <c r="T13" s="6" t="s">
        <v>0</v>
      </c>
      <c r="U13" s="6" t="s">
        <v>0</v>
      </c>
      <c r="V13" s="6" t="s">
        <v>22</v>
      </c>
      <c r="W13" s="6" t="s">
        <v>22</v>
      </c>
      <c r="X13" s="6" t="s">
        <v>22</v>
      </c>
      <c r="Y13" s="6" t="s">
        <v>22</v>
      </c>
      <c r="Z13" s="6" t="s">
        <v>22</v>
      </c>
      <c r="AA13" s="6" t="s">
        <v>22</v>
      </c>
      <c r="AB13" s="6" t="s">
        <v>22</v>
      </c>
      <c r="AC13" s="6" t="s">
        <v>15</v>
      </c>
      <c r="AD13" s="6" t="s">
        <v>0</v>
      </c>
      <c r="AE13" s="6" t="s">
        <v>0</v>
      </c>
      <c r="AF13" s="6" t="s">
        <v>0</v>
      </c>
      <c r="AG13" s="6" t="s">
        <v>0</v>
      </c>
      <c r="AH13" s="6" t="s">
        <v>0</v>
      </c>
      <c r="AI13" s="6" t="s">
        <v>0</v>
      </c>
      <c r="AJ13" s="6" t="s">
        <v>22</v>
      </c>
      <c r="AK13" s="6" t="s">
        <v>22</v>
      </c>
      <c r="AL13" s="6" t="s">
        <v>22</v>
      </c>
      <c r="AM13" s="8"/>
      <c r="AO13" s="10" t="s">
        <v>25</v>
      </c>
      <c r="AP13" s="10" t="str">
        <f t="shared" si="3"/>
        <v>ADMIN FOGN</v>
      </c>
      <c r="AQ13" s="11">
        <v>0.75</v>
      </c>
      <c r="AR13" s="11">
        <v>0.25</v>
      </c>
    </row>
    <row r="14" spans="2:45" ht="21">
      <c r="B14" s="4">
        <v>2604251</v>
      </c>
      <c r="C14" s="12" t="s">
        <v>36</v>
      </c>
      <c r="D14" s="5" t="s">
        <v>113</v>
      </c>
      <c r="E14" s="5" t="s">
        <v>23</v>
      </c>
      <c r="F14" s="5" t="s">
        <v>46</v>
      </c>
      <c r="G14" s="5" t="s">
        <v>59</v>
      </c>
      <c r="H14" s="5">
        <f t="shared" si="1"/>
        <v>7</v>
      </c>
      <c r="I14" s="6" t="s">
        <v>22</v>
      </c>
      <c r="J14" s="6" t="s">
        <v>22</v>
      </c>
      <c r="K14" s="6" t="s">
        <v>22</v>
      </c>
      <c r="L14" s="6" t="s">
        <v>22</v>
      </c>
      <c r="M14" s="6" t="s">
        <v>22</v>
      </c>
      <c r="N14" s="6" t="s">
        <v>22</v>
      </c>
      <c r="O14" s="6" t="s">
        <v>22</v>
      </c>
      <c r="P14" s="6" t="s">
        <v>15</v>
      </c>
      <c r="Q14" s="6" t="s">
        <v>0</v>
      </c>
      <c r="R14" s="6" t="s">
        <v>0</v>
      </c>
      <c r="S14" s="6" t="s">
        <v>0</v>
      </c>
      <c r="T14" s="6" t="s">
        <v>0</v>
      </c>
      <c r="U14" s="6" t="s">
        <v>0</v>
      </c>
      <c r="V14" s="6" t="s">
        <v>0</v>
      </c>
      <c r="W14" s="6" t="s">
        <v>0</v>
      </c>
      <c r="X14" s="6" t="s">
        <v>16</v>
      </c>
      <c r="Y14" s="7" t="s">
        <v>16</v>
      </c>
      <c r="Z14" s="6" t="s">
        <v>16</v>
      </c>
      <c r="AA14" s="6" t="s">
        <v>16</v>
      </c>
      <c r="AB14" s="6" t="s">
        <v>16</v>
      </c>
      <c r="AC14" s="6" t="s">
        <v>16</v>
      </c>
      <c r="AD14" s="6" t="s">
        <v>16</v>
      </c>
      <c r="AE14" s="6" t="s">
        <v>16</v>
      </c>
      <c r="AF14" s="6" t="s">
        <v>16</v>
      </c>
      <c r="AG14" s="6" t="s">
        <v>16</v>
      </c>
      <c r="AH14" s="6" t="s">
        <v>16</v>
      </c>
      <c r="AI14" s="6" t="s">
        <v>16</v>
      </c>
      <c r="AJ14" s="6" t="s">
        <v>16</v>
      </c>
      <c r="AK14" s="6" t="s">
        <v>16</v>
      </c>
      <c r="AL14" s="6" t="s">
        <v>16</v>
      </c>
      <c r="AM14" s="8"/>
    </row>
    <row r="15" spans="2:45" ht="21">
      <c r="B15" s="4">
        <v>1004253</v>
      </c>
      <c r="C15" s="12" t="s">
        <v>37</v>
      </c>
      <c r="D15" s="5" t="s">
        <v>113</v>
      </c>
      <c r="E15" s="5" t="s">
        <v>23</v>
      </c>
      <c r="F15" s="5" t="s">
        <v>46</v>
      </c>
      <c r="G15" s="5" t="s">
        <v>59</v>
      </c>
      <c r="H15" s="5" t="str">
        <f>IFERROR(MOD(14-(MATCH("OFF",I15:AL15,0)-1)-1,14)+1,"10")</f>
        <v>10</v>
      </c>
      <c r="I15" s="6" t="s">
        <v>16</v>
      </c>
      <c r="J15" s="6" t="s">
        <v>16</v>
      </c>
      <c r="K15" s="6" t="s">
        <v>16</v>
      </c>
      <c r="L15" s="6" t="s">
        <v>16</v>
      </c>
      <c r="M15" s="6" t="s">
        <v>16</v>
      </c>
      <c r="N15" s="6" t="s">
        <v>16</v>
      </c>
      <c r="O15" s="6" t="s">
        <v>16</v>
      </c>
      <c r="P15" s="6" t="s">
        <v>16</v>
      </c>
      <c r="Q15" s="6" t="s">
        <v>16</v>
      </c>
      <c r="R15" s="6" t="s">
        <v>16</v>
      </c>
      <c r="S15" s="6" t="s">
        <v>16</v>
      </c>
      <c r="T15" s="6" t="s">
        <v>16</v>
      </c>
      <c r="U15" s="6" t="s">
        <v>16</v>
      </c>
      <c r="V15" s="6" t="s">
        <v>16</v>
      </c>
      <c r="W15" s="6" t="s">
        <v>16</v>
      </c>
      <c r="X15" s="6" t="s">
        <v>16</v>
      </c>
      <c r="Y15" s="7" t="s">
        <v>16</v>
      </c>
      <c r="Z15" s="6" t="s">
        <v>16</v>
      </c>
      <c r="AA15" s="6" t="s">
        <v>0</v>
      </c>
      <c r="AB15" s="6" t="s">
        <v>0</v>
      </c>
      <c r="AC15" s="6" t="s">
        <v>0</v>
      </c>
      <c r="AD15" s="6" t="s">
        <v>0</v>
      </c>
      <c r="AE15" s="6" t="s">
        <v>0</v>
      </c>
      <c r="AF15" s="6" t="s">
        <v>0</v>
      </c>
      <c r="AG15" s="6" t="s">
        <v>0</v>
      </c>
      <c r="AH15" s="6" t="s">
        <v>0</v>
      </c>
      <c r="AI15" s="6" t="s">
        <v>0</v>
      </c>
      <c r="AJ15" s="6" t="s">
        <v>0</v>
      </c>
      <c r="AK15" s="6" t="s">
        <v>0</v>
      </c>
      <c r="AL15" s="6" t="s">
        <v>0</v>
      </c>
      <c r="AM15" s="8"/>
    </row>
    <row r="16" spans="2:45" ht="21">
      <c r="B16" s="4">
        <v>202809252</v>
      </c>
      <c r="C16" s="12" t="s">
        <v>38</v>
      </c>
      <c r="D16" s="5" t="s">
        <v>113</v>
      </c>
      <c r="E16" s="5" t="s">
        <v>23</v>
      </c>
      <c r="F16" s="5" t="s">
        <v>46</v>
      </c>
      <c r="G16" s="5" t="s">
        <v>59</v>
      </c>
      <c r="H16" s="5">
        <f t="shared" si="1"/>
        <v>6</v>
      </c>
      <c r="I16" s="6" t="s">
        <v>0</v>
      </c>
      <c r="J16" s="6" t="s">
        <v>0</v>
      </c>
      <c r="K16" s="6" t="s">
        <v>0</v>
      </c>
      <c r="L16" s="6" t="s">
        <v>0</v>
      </c>
      <c r="M16" s="6" t="s">
        <v>0</v>
      </c>
      <c r="N16" s="6" t="s">
        <v>0</v>
      </c>
      <c r="O16" s="6" t="s">
        <v>0</v>
      </c>
      <c r="P16" s="6" t="s">
        <v>0</v>
      </c>
      <c r="Q16" s="6" t="s">
        <v>15</v>
      </c>
      <c r="R16" s="6" t="s">
        <v>0</v>
      </c>
      <c r="S16" s="6" t="s">
        <v>0</v>
      </c>
      <c r="T16" s="6" t="s">
        <v>0</v>
      </c>
      <c r="U16" s="6" t="s">
        <v>0</v>
      </c>
      <c r="V16" s="6" t="s">
        <v>0</v>
      </c>
      <c r="W16" s="6" t="s">
        <v>22</v>
      </c>
      <c r="X16" s="6" t="s">
        <v>22</v>
      </c>
      <c r="Y16" s="7" t="s">
        <v>22</v>
      </c>
      <c r="Z16" s="6" t="s">
        <v>22</v>
      </c>
      <c r="AA16" s="6" t="s">
        <v>22</v>
      </c>
      <c r="AB16" s="6" t="s">
        <v>22</v>
      </c>
      <c r="AC16" s="6" t="s">
        <v>22</v>
      </c>
      <c r="AD16" s="6" t="s">
        <v>15</v>
      </c>
      <c r="AE16" s="6" t="s">
        <v>0</v>
      </c>
      <c r="AF16" s="6" t="s">
        <v>0</v>
      </c>
      <c r="AG16" s="6" t="s">
        <v>0</v>
      </c>
      <c r="AH16" s="6" t="s">
        <v>0</v>
      </c>
      <c r="AI16" s="6" t="s">
        <v>0</v>
      </c>
      <c r="AJ16" s="6" t="s">
        <v>0</v>
      </c>
      <c r="AK16" s="6" t="s">
        <v>22</v>
      </c>
      <c r="AL16" s="6" t="s">
        <v>22</v>
      </c>
      <c r="AM16" s="8"/>
    </row>
    <row r="17" spans="2:39" ht="21">
      <c r="B17" s="4">
        <v>201409252</v>
      </c>
      <c r="C17" s="12" t="s">
        <v>39</v>
      </c>
      <c r="D17" s="5" t="s">
        <v>114</v>
      </c>
      <c r="E17" s="5" t="s">
        <v>25</v>
      </c>
      <c r="F17" s="5" t="s">
        <v>42</v>
      </c>
      <c r="G17" s="5" t="s">
        <v>14</v>
      </c>
      <c r="H17" s="5">
        <f t="shared" si="1"/>
        <v>14</v>
      </c>
      <c r="I17" s="6" t="s">
        <v>15</v>
      </c>
      <c r="J17" s="6" t="s">
        <v>0</v>
      </c>
      <c r="K17" s="6" t="s">
        <v>0</v>
      </c>
      <c r="L17" s="6" t="s">
        <v>0</v>
      </c>
      <c r="M17" s="6" t="s">
        <v>0</v>
      </c>
      <c r="N17" s="6" t="s">
        <v>0</v>
      </c>
      <c r="O17" s="6" t="s">
        <v>0</v>
      </c>
      <c r="P17" s="6" t="s">
        <v>22</v>
      </c>
      <c r="Q17" s="6" t="s">
        <v>22</v>
      </c>
      <c r="R17" s="6" t="s">
        <v>22</v>
      </c>
      <c r="S17" s="6" t="s">
        <v>22</v>
      </c>
      <c r="T17" s="6" t="s">
        <v>22</v>
      </c>
      <c r="U17" s="6" t="s">
        <v>22</v>
      </c>
      <c r="V17" s="6" t="s">
        <v>22</v>
      </c>
      <c r="W17" s="6" t="s">
        <v>15</v>
      </c>
      <c r="X17" s="6" t="s">
        <v>0</v>
      </c>
      <c r="Y17" s="7" t="s">
        <v>0</v>
      </c>
      <c r="Z17" s="6" t="s">
        <v>0</v>
      </c>
      <c r="AA17" s="6" t="s">
        <v>0</v>
      </c>
      <c r="AB17" s="6" t="s">
        <v>0</v>
      </c>
      <c r="AC17" s="6" t="s">
        <v>0</v>
      </c>
      <c r="AD17" s="6" t="s">
        <v>0</v>
      </c>
      <c r="AE17" s="6" t="s">
        <v>22</v>
      </c>
      <c r="AF17" s="6" t="s">
        <v>22</v>
      </c>
      <c r="AG17" s="6" t="s">
        <v>22</v>
      </c>
      <c r="AH17" s="6" t="s">
        <v>22</v>
      </c>
      <c r="AI17" s="6" t="s">
        <v>22</v>
      </c>
      <c r="AJ17" s="6" t="s">
        <v>22</v>
      </c>
      <c r="AK17" s="6" t="s">
        <v>15</v>
      </c>
      <c r="AL17" s="6" t="s">
        <v>0</v>
      </c>
      <c r="AM17" s="8"/>
    </row>
    <row r="18" spans="2:39" ht="21">
      <c r="B18" s="4">
        <v>200811251</v>
      </c>
      <c r="C18" s="12" t="s">
        <v>40</v>
      </c>
      <c r="D18" s="5" t="s">
        <v>114</v>
      </c>
      <c r="E18" s="5" t="s">
        <v>25</v>
      </c>
      <c r="F18" s="5" t="s">
        <v>42</v>
      </c>
      <c r="G18" s="5" t="s">
        <v>14</v>
      </c>
      <c r="H18" s="5">
        <f t="shared" si="1"/>
        <v>7</v>
      </c>
      <c r="I18" s="6" t="s">
        <v>0</v>
      </c>
      <c r="J18" s="6" t="s">
        <v>0</v>
      </c>
      <c r="K18" s="6" t="s">
        <v>22</v>
      </c>
      <c r="L18" s="6" t="s">
        <v>22</v>
      </c>
      <c r="M18" s="6" t="s">
        <v>22</v>
      </c>
      <c r="N18" s="6" t="s">
        <v>22</v>
      </c>
      <c r="O18" s="6" t="s">
        <v>22</v>
      </c>
      <c r="P18" s="6" t="s">
        <v>15</v>
      </c>
      <c r="Q18" s="6" t="s">
        <v>0</v>
      </c>
      <c r="R18" s="6" t="s">
        <v>0</v>
      </c>
      <c r="S18" s="6" t="s">
        <v>0</v>
      </c>
      <c r="T18" s="6" t="s">
        <v>0</v>
      </c>
      <c r="U18" s="6" t="s">
        <v>0</v>
      </c>
      <c r="V18" s="6" t="s">
        <v>0</v>
      </c>
      <c r="W18" s="6" t="s">
        <v>0</v>
      </c>
      <c r="X18" s="6" t="s">
        <v>22</v>
      </c>
      <c r="Y18" s="7" t="s">
        <v>22</v>
      </c>
      <c r="Z18" s="6" t="s">
        <v>22</v>
      </c>
      <c r="AA18" s="6" t="s">
        <v>22</v>
      </c>
      <c r="AB18" s="6" t="s">
        <v>22</v>
      </c>
      <c r="AC18" s="6" t="s">
        <v>22</v>
      </c>
      <c r="AD18" s="6" t="s">
        <v>15</v>
      </c>
      <c r="AE18" s="6" t="s">
        <v>0</v>
      </c>
      <c r="AF18" s="6" t="s">
        <v>0</v>
      </c>
      <c r="AG18" s="6" t="s">
        <v>0</v>
      </c>
      <c r="AH18" s="6" t="s">
        <v>0</v>
      </c>
      <c r="AI18" s="6" t="s">
        <v>0</v>
      </c>
      <c r="AJ18" s="6" t="s">
        <v>0</v>
      </c>
      <c r="AK18" s="6" t="s">
        <v>0</v>
      </c>
      <c r="AL18" s="6" t="s">
        <v>65</v>
      </c>
      <c r="AM18" s="8"/>
    </row>
    <row r="19" spans="2:39" ht="21">
      <c r="B19" s="4">
        <v>2804232</v>
      </c>
      <c r="C19" s="12" t="s">
        <v>41</v>
      </c>
      <c r="D19" s="5" t="s">
        <v>114</v>
      </c>
      <c r="E19" s="5" t="s">
        <v>12</v>
      </c>
      <c r="F19" s="5" t="s">
        <v>13</v>
      </c>
      <c r="G19" s="5" t="s">
        <v>14</v>
      </c>
      <c r="H19" s="5" t="str">
        <f t="shared" si="1"/>
        <v>1</v>
      </c>
      <c r="I19" s="6" t="s">
        <v>16</v>
      </c>
      <c r="J19" s="6" t="s">
        <v>16</v>
      </c>
      <c r="K19" s="6" t="s">
        <v>16</v>
      </c>
      <c r="L19" s="6" t="s">
        <v>16</v>
      </c>
      <c r="M19" s="6" t="s">
        <v>16</v>
      </c>
      <c r="N19" s="6" t="s">
        <v>16</v>
      </c>
      <c r="O19" s="6" t="s">
        <v>16</v>
      </c>
      <c r="P19" s="6" t="s">
        <v>16</v>
      </c>
      <c r="Q19" s="6" t="s">
        <v>16</v>
      </c>
      <c r="R19" s="6" t="s">
        <v>16</v>
      </c>
      <c r="S19" s="6" t="s">
        <v>16</v>
      </c>
      <c r="T19" s="6" t="s">
        <v>16</v>
      </c>
      <c r="U19" s="6" t="s">
        <v>16</v>
      </c>
      <c r="V19" s="6" t="s">
        <v>16</v>
      </c>
      <c r="W19" s="6" t="s">
        <v>16</v>
      </c>
      <c r="X19" s="6" t="s">
        <v>16</v>
      </c>
      <c r="Y19" s="7" t="s">
        <v>16</v>
      </c>
      <c r="Z19" s="6" t="s">
        <v>16</v>
      </c>
      <c r="AA19" s="6" t="s">
        <v>16</v>
      </c>
      <c r="AB19" s="6" t="s">
        <v>16</v>
      </c>
      <c r="AC19" s="6" t="s">
        <v>16</v>
      </c>
      <c r="AD19" s="6" t="s">
        <v>16</v>
      </c>
      <c r="AE19" s="6" t="s">
        <v>16</v>
      </c>
      <c r="AF19" s="6" t="s">
        <v>16</v>
      </c>
      <c r="AG19" s="6" t="s">
        <v>16</v>
      </c>
      <c r="AH19" s="6" t="s">
        <v>16</v>
      </c>
      <c r="AI19" s="6" t="s">
        <v>16</v>
      </c>
      <c r="AJ19" s="6" t="s">
        <v>0</v>
      </c>
      <c r="AK19" s="6" t="s">
        <v>0</v>
      </c>
      <c r="AL19" s="6" t="s">
        <v>0</v>
      </c>
      <c r="AM19" s="8"/>
    </row>
    <row r="20" spans="2:39" ht="21">
      <c r="B20" s="4">
        <v>1510243</v>
      </c>
      <c r="C20" s="12" t="s">
        <v>43</v>
      </c>
      <c r="D20" s="5" t="s">
        <v>114</v>
      </c>
      <c r="E20" s="5" t="s">
        <v>12</v>
      </c>
      <c r="F20" s="5" t="s">
        <v>13</v>
      </c>
      <c r="G20" s="5" t="s">
        <v>14</v>
      </c>
      <c r="H20" s="5">
        <f t="shared" si="1"/>
        <v>1</v>
      </c>
      <c r="I20" s="6" t="s">
        <v>16</v>
      </c>
      <c r="J20" s="6" t="s">
        <v>16</v>
      </c>
      <c r="K20" s="6" t="s">
        <v>16</v>
      </c>
      <c r="L20" s="6" t="s">
        <v>16</v>
      </c>
      <c r="M20" s="6" t="s">
        <v>16</v>
      </c>
      <c r="N20" s="6" t="s">
        <v>16</v>
      </c>
      <c r="O20" s="6" t="s">
        <v>16</v>
      </c>
      <c r="P20" s="6" t="s">
        <v>16</v>
      </c>
      <c r="Q20" s="6" t="s">
        <v>16</v>
      </c>
      <c r="R20" s="6" t="s">
        <v>16</v>
      </c>
      <c r="S20" s="6" t="s">
        <v>16</v>
      </c>
      <c r="T20" s="6" t="s">
        <v>16</v>
      </c>
      <c r="U20" s="6" t="s">
        <v>16</v>
      </c>
      <c r="V20" s="6" t="s">
        <v>16</v>
      </c>
      <c r="W20" s="6" t="s">
        <v>16</v>
      </c>
      <c r="X20" s="6" t="s">
        <v>16</v>
      </c>
      <c r="Y20" s="7" t="s">
        <v>16</v>
      </c>
      <c r="Z20" s="6" t="s">
        <v>16</v>
      </c>
      <c r="AA20" s="6" t="s">
        <v>16</v>
      </c>
      <c r="AB20" s="6" t="s">
        <v>16</v>
      </c>
      <c r="AC20" s="6" t="s">
        <v>16</v>
      </c>
      <c r="AD20" s="6" t="s">
        <v>16</v>
      </c>
      <c r="AE20" s="6" t="s">
        <v>16</v>
      </c>
      <c r="AF20" s="6" t="s">
        <v>0</v>
      </c>
      <c r="AG20" s="6" t="s">
        <v>0</v>
      </c>
      <c r="AH20" s="6" t="s">
        <v>0</v>
      </c>
      <c r="AI20" s="6" t="s">
        <v>0</v>
      </c>
      <c r="AJ20" s="6" t="s">
        <v>15</v>
      </c>
      <c r="AK20" s="6" t="s">
        <v>0</v>
      </c>
      <c r="AL20" s="6" t="s">
        <v>0</v>
      </c>
      <c r="AM20" s="8"/>
    </row>
    <row r="21" spans="2:39" ht="21">
      <c r="B21" s="4">
        <v>2106234</v>
      </c>
      <c r="C21" s="12" t="s">
        <v>44</v>
      </c>
      <c r="D21" s="5" t="s">
        <v>114</v>
      </c>
      <c r="E21" s="5" t="s">
        <v>12</v>
      </c>
      <c r="F21" s="5" t="s">
        <v>13</v>
      </c>
      <c r="G21" s="5" t="s">
        <v>14</v>
      </c>
      <c r="H21" s="5">
        <f t="shared" si="1"/>
        <v>14</v>
      </c>
      <c r="I21" s="6" t="s">
        <v>16</v>
      </c>
      <c r="J21" s="6" t="s">
        <v>16</v>
      </c>
      <c r="K21" s="6" t="s">
        <v>16</v>
      </c>
      <c r="L21" s="6" t="s">
        <v>16</v>
      </c>
      <c r="M21" s="6" t="s">
        <v>16</v>
      </c>
      <c r="N21" s="6" t="s">
        <v>16</v>
      </c>
      <c r="O21" s="6" t="s">
        <v>16</v>
      </c>
      <c r="P21" s="6" t="s">
        <v>16</v>
      </c>
      <c r="Q21" s="6" t="s">
        <v>16</v>
      </c>
      <c r="R21" s="6" t="s">
        <v>16</v>
      </c>
      <c r="S21" s="6" t="s">
        <v>16</v>
      </c>
      <c r="T21" s="6" t="s">
        <v>16</v>
      </c>
      <c r="U21" s="6" t="s">
        <v>16</v>
      </c>
      <c r="V21" s="6" t="s">
        <v>16</v>
      </c>
      <c r="W21" s="6" t="s">
        <v>16</v>
      </c>
      <c r="X21" s="6" t="s">
        <v>16</v>
      </c>
      <c r="Y21" s="7" t="s">
        <v>16</v>
      </c>
      <c r="Z21" s="6" t="s">
        <v>16</v>
      </c>
      <c r="AA21" s="6" t="s">
        <v>0</v>
      </c>
      <c r="AB21" s="6" t="s">
        <v>0</v>
      </c>
      <c r="AC21" s="6" t="s">
        <v>0</v>
      </c>
      <c r="AD21" s="6" t="s">
        <v>22</v>
      </c>
      <c r="AE21" s="6" t="s">
        <v>22</v>
      </c>
      <c r="AF21" s="6" t="s">
        <v>22</v>
      </c>
      <c r="AG21" s="6" t="s">
        <v>22</v>
      </c>
      <c r="AH21" s="6" t="s">
        <v>22</v>
      </c>
      <c r="AI21" s="6" t="s">
        <v>22</v>
      </c>
      <c r="AJ21" s="6" t="s">
        <v>22</v>
      </c>
      <c r="AK21" s="6" t="s">
        <v>15</v>
      </c>
      <c r="AL21" s="6" t="s">
        <v>0</v>
      </c>
      <c r="AM21" s="8"/>
    </row>
    <row r="22" spans="2:39" ht="21">
      <c r="B22" s="4">
        <v>1510241</v>
      </c>
      <c r="C22" s="12" t="s">
        <v>45</v>
      </c>
      <c r="D22" s="5" t="s">
        <v>114</v>
      </c>
      <c r="E22" s="5" t="s">
        <v>12</v>
      </c>
      <c r="F22" s="5" t="s">
        <v>13</v>
      </c>
      <c r="G22" s="5" t="s">
        <v>14</v>
      </c>
      <c r="H22" s="5">
        <f t="shared" si="1"/>
        <v>12</v>
      </c>
      <c r="I22" s="6" t="s">
        <v>22</v>
      </c>
      <c r="J22" s="6" t="s">
        <v>22</v>
      </c>
      <c r="K22" s="6" t="s">
        <v>15</v>
      </c>
      <c r="L22" s="6" t="s">
        <v>0</v>
      </c>
      <c r="M22" s="6" t="s">
        <v>0</v>
      </c>
      <c r="N22" s="6" t="s">
        <v>0</v>
      </c>
      <c r="O22" s="6" t="s">
        <v>16</v>
      </c>
      <c r="P22" s="6" t="s">
        <v>16</v>
      </c>
      <c r="Q22" s="6" t="s">
        <v>16</v>
      </c>
      <c r="R22" s="6" t="s">
        <v>16</v>
      </c>
      <c r="S22" s="6" t="s">
        <v>16</v>
      </c>
      <c r="T22" s="6" t="s">
        <v>16</v>
      </c>
      <c r="U22" s="6" t="s">
        <v>16</v>
      </c>
      <c r="V22" s="6" t="s">
        <v>16</v>
      </c>
      <c r="W22" s="6" t="s">
        <v>16</v>
      </c>
      <c r="X22" s="6" t="s">
        <v>16</v>
      </c>
      <c r="Y22" s="7" t="s">
        <v>16</v>
      </c>
      <c r="Z22" s="6" t="s">
        <v>16</v>
      </c>
      <c r="AA22" s="6" t="s">
        <v>16</v>
      </c>
      <c r="AB22" s="6" t="s">
        <v>16</v>
      </c>
      <c r="AC22" s="6" t="s">
        <v>16</v>
      </c>
      <c r="AD22" s="6" t="s">
        <v>16</v>
      </c>
      <c r="AE22" s="6" t="s">
        <v>16</v>
      </c>
      <c r="AF22" s="6" t="s">
        <v>16</v>
      </c>
      <c r="AG22" s="6" t="s">
        <v>16</v>
      </c>
      <c r="AH22" s="6" t="s">
        <v>16</v>
      </c>
      <c r="AI22" s="6" t="s">
        <v>16</v>
      </c>
      <c r="AJ22" s="6" t="s">
        <v>16</v>
      </c>
      <c r="AK22" s="6" t="s">
        <v>16</v>
      </c>
      <c r="AL22" s="6" t="s">
        <v>16</v>
      </c>
      <c r="AM22" s="8"/>
    </row>
    <row r="23" spans="2:39" ht="21">
      <c r="B23" s="4">
        <v>207251</v>
      </c>
      <c r="C23" s="15" t="s">
        <v>47</v>
      </c>
      <c r="D23" s="5" t="s">
        <v>114</v>
      </c>
      <c r="E23" s="5" t="s">
        <v>12</v>
      </c>
      <c r="F23" s="5" t="s">
        <v>13</v>
      </c>
      <c r="G23" s="5" t="s">
        <v>14</v>
      </c>
      <c r="H23" s="5">
        <f t="shared" si="1"/>
        <v>11</v>
      </c>
      <c r="I23" s="6" t="s">
        <v>16</v>
      </c>
      <c r="J23" s="6" t="s">
        <v>16</v>
      </c>
      <c r="K23" s="6" t="s">
        <v>16</v>
      </c>
      <c r="L23" s="6" t="s">
        <v>16</v>
      </c>
      <c r="M23" s="6" t="s">
        <v>16</v>
      </c>
      <c r="N23" s="6" t="s">
        <v>16</v>
      </c>
      <c r="O23" s="6" t="s">
        <v>16</v>
      </c>
      <c r="P23" s="6" t="s">
        <v>16</v>
      </c>
      <c r="Q23" s="6" t="s">
        <v>16</v>
      </c>
      <c r="R23" s="6" t="s">
        <v>0</v>
      </c>
      <c r="S23" s="6" t="s">
        <v>22</v>
      </c>
      <c r="T23" s="6" t="s">
        <v>22</v>
      </c>
      <c r="U23" s="6" t="s">
        <v>22</v>
      </c>
      <c r="V23" s="6" t="s">
        <v>22</v>
      </c>
      <c r="W23" s="6" t="s">
        <v>22</v>
      </c>
      <c r="X23" s="6" t="s">
        <v>22</v>
      </c>
      <c r="Y23" s="7" t="s">
        <v>22</v>
      </c>
      <c r="Z23" s="6" t="s">
        <v>15</v>
      </c>
      <c r="AA23" s="6" t="s">
        <v>0</v>
      </c>
      <c r="AB23" s="6" t="s">
        <v>0</v>
      </c>
      <c r="AC23" s="6" t="s">
        <v>0</v>
      </c>
      <c r="AD23" s="6" t="s">
        <v>0</v>
      </c>
      <c r="AE23" s="6" t="s">
        <v>0</v>
      </c>
      <c r="AF23" s="6" t="s">
        <v>0</v>
      </c>
      <c r="AG23" s="6" t="s">
        <v>0</v>
      </c>
      <c r="AH23" s="6" t="s">
        <v>0</v>
      </c>
      <c r="AI23" s="6" t="s">
        <v>0</v>
      </c>
      <c r="AJ23" s="6" t="s">
        <v>22</v>
      </c>
      <c r="AK23" s="6" t="s">
        <v>22</v>
      </c>
      <c r="AL23" s="6" t="s">
        <v>22</v>
      </c>
      <c r="AM23" s="8"/>
    </row>
    <row r="24" spans="2:39" ht="21">
      <c r="B24" s="4">
        <v>1906254</v>
      </c>
      <c r="C24" s="12" t="s">
        <v>48</v>
      </c>
      <c r="D24" s="5" t="s">
        <v>114</v>
      </c>
      <c r="E24" s="5" t="s">
        <v>12</v>
      </c>
      <c r="F24" s="5" t="s">
        <v>13</v>
      </c>
      <c r="G24" s="5" t="s">
        <v>14</v>
      </c>
      <c r="H24" s="5">
        <f t="shared" si="1"/>
        <v>10</v>
      </c>
      <c r="I24" s="6" t="s">
        <v>0</v>
      </c>
      <c r="J24" s="6" t="s">
        <v>22</v>
      </c>
      <c r="K24" s="6" t="s">
        <v>22</v>
      </c>
      <c r="L24" s="6" t="s">
        <v>22</v>
      </c>
      <c r="M24" s="6" t="s">
        <v>15</v>
      </c>
      <c r="N24" s="6" t="s">
        <v>0</v>
      </c>
      <c r="O24" s="6" t="s">
        <v>0</v>
      </c>
      <c r="P24" s="6" t="s">
        <v>0</v>
      </c>
      <c r="Q24" s="6" t="s">
        <v>0</v>
      </c>
      <c r="R24" s="6" t="s">
        <v>0</v>
      </c>
      <c r="S24" s="6" t="s">
        <v>22</v>
      </c>
      <c r="T24" s="6" t="s">
        <v>22</v>
      </c>
      <c r="U24" s="6" t="s">
        <v>22</v>
      </c>
      <c r="V24" s="6" t="s">
        <v>22</v>
      </c>
      <c r="W24" s="6" t="s">
        <v>22</v>
      </c>
      <c r="X24" s="6" t="s">
        <v>22</v>
      </c>
      <c r="Y24" s="7" t="s">
        <v>22</v>
      </c>
      <c r="Z24" s="6" t="s">
        <v>22</v>
      </c>
      <c r="AA24" s="6" t="s">
        <v>15</v>
      </c>
      <c r="AB24" s="6" t="s">
        <v>0</v>
      </c>
      <c r="AC24" s="6" t="s">
        <v>0</v>
      </c>
      <c r="AD24" s="6" t="s">
        <v>22</v>
      </c>
      <c r="AE24" s="6" t="s">
        <v>22</v>
      </c>
      <c r="AF24" s="6" t="s">
        <v>22</v>
      </c>
      <c r="AG24" s="6" t="s">
        <v>22</v>
      </c>
      <c r="AH24" s="6" t="s">
        <v>22</v>
      </c>
      <c r="AI24" s="6" t="s">
        <v>22</v>
      </c>
      <c r="AJ24" s="6" t="s">
        <v>16</v>
      </c>
      <c r="AK24" s="6" t="s">
        <v>16</v>
      </c>
      <c r="AL24" s="6" t="s">
        <v>16</v>
      </c>
      <c r="AM24" s="8"/>
    </row>
    <row r="25" spans="2:39" ht="21">
      <c r="B25" s="4">
        <v>2802252</v>
      </c>
      <c r="C25" s="12" t="s">
        <v>49</v>
      </c>
      <c r="D25" s="5" t="s">
        <v>114</v>
      </c>
      <c r="E25" s="5" t="s">
        <v>12</v>
      </c>
      <c r="F25" s="5" t="s">
        <v>13</v>
      </c>
      <c r="G25" s="5" t="s">
        <v>14</v>
      </c>
      <c r="H25" s="5">
        <f t="shared" si="1"/>
        <v>10</v>
      </c>
      <c r="I25" s="6" t="s">
        <v>0</v>
      </c>
      <c r="J25" s="6" t="s">
        <v>0</v>
      </c>
      <c r="K25" s="6" t="s">
        <v>22</v>
      </c>
      <c r="L25" s="6" t="s">
        <v>22</v>
      </c>
      <c r="M25" s="6" t="s">
        <v>15</v>
      </c>
      <c r="N25" s="6" t="s">
        <v>0</v>
      </c>
      <c r="O25" s="6" t="s">
        <v>0</v>
      </c>
      <c r="P25" s="6" t="s">
        <v>0</v>
      </c>
      <c r="Q25" s="6" t="s">
        <v>0</v>
      </c>
      <c r="R25" s="6" t="s">
        <v>16</v>
      </c>
      <c r="S25" s="6" t="s">
        <v>16</v>
      </c>
      <c r="T25" s="6" t="s">
        <v>16</v>
      </c>
      <c r="U25" s="6" t="s">
        <v>16</v>
      </c>
      <c r="V25" s="6" t="s">
        <v>16</v>
      </c>
      <c r="W25" s="6" t="s">
        <v>16</v>
      </c>
      <c r="X25" s="6" t="s">
        <v>16</v>
      </c>
      <c r="Y25" s="7" t="s">
        <v>16</v>
      </c>
      <c r="Z25" s="6" t="s">
        <v>16</v>
      </c>
      <c r="AA25" s="6" t="s">
        <v>16</v>
      </c>
      <c r="AB25" s="6" t="s">
        <v>16</v>
      </c>
      <c r="AC25" s="6" t="s">
        <v>16</v>
      </c>
      <c r="AD25" s="6" t="s">
        <v>16</v>
      </c>
      <c r="AE25" s="6" t="s">
        <v>16</v>
      </c>
      <c r="AF25" s="6" t="s">
        <v>16</v>
      </c>
      <c r="AG25" s="6" t="s">
        <v>16</v>
      </c>
      <c r="AH25" s="6" t="s">
        <v>16</v>
      </c>
      <c r="AI25" s="6" t="s">
        <v>16</v>
      </c>
      <c r="AJ25" s="6" t="s">
        <v>16</v>
      </c>
      <c r="AK25" s="6" t="s">
        <v>16</v>
      </c>
      <c r="AL25" s="6" t="s">
        <v>16</v>
      </c>
      <c r="AM25" s="8"/>
    </row>
    <row r="26" spans="2:39" ht="21">
      <c r="B26" s="4">
        <v>2802253</v>
      </c>
      <c r="C26" s="12" t="s">
        <v>50</v>
      </c>
      <c r="D26" s="5" t="s">
        <v>114</v>
      </c>
      <c r="E26" s="5" t="s">
        <v>12</v>
      </c>
      <c r="F26" s="5" t="s">
        <v>13</v>
      </c>
      <c r="G26" s="5" t="s">
        <v>14</v>
      </c>
      <c r="H26" s="5" t="str">
        <f t="shared" si="1"/>
        <v>1</v>
      </c>
      <c r="I26" s="6" t="s">
        <v>16</v>
      </c>
      <c r="J26" s="6" t="s">
        <v>16</v>
      </c>
      <c r="K26" s="6" t="s">
        <v>16</v>
      </c>
      <c r="L26" s="6" t="s">
        <v>16</v>
      </c>
      <c r="M26" s="6" t="s">
        <v>16</v>
      </c>
      <c r="N26" s="6" t="s">
        <v>16</v>
      </c>
      <c r="O26" s="6" t="s">
        <v>16</v>
      </c>
      <c r="P26" s="6" t="s">
        <v>16</v>
      </c>
      <c r="Q26" s="6" t="s">
        <v>16</v>
      </c>
      <c r="R26" s="6" t="s">
        <v>16</v>
      </c>
      <c r="S26" s="6" t="s">
        <v>16</v>
      </c>
      <c r="T26" s="6" t="s">
        <v>16</v>
      </c>
      <c r="U26" s="6" t="s">
        <v>16</v>
      </c>
      <c r="V26" s="6" t="s">
        <v>16</v>
      </c>
      <c r="W26" s="6" t="s">
        <v>16</v>
      </c>
      <c r="X26" s="6" t="s">
        <v>16</v>
      </c>
      <c r="Y26" s="7" t="s">
        <v>16</v>
      </c>
      <c r="Z26" s="6" t="s">
        <v>16</v>
      </c>
      <c r="AA26" s="6" t="s">
        <v>16</v>
      </c>
      <c r="AB26" s="6" t="s">
        <v>16</v>
      </c>
      <c r="AC26" s="6" t="s">
        <v>16</v>
      </c>
      <c r="AD26" s="6" t="s">
        <v>16</v>
      </c>
      <c r="AE26" s="6" t="s">
        <v>16</v>
      </c>
      <c r="AF26" s="6" t="s">
        <v>16</v>
      </c>
      <c r="AG26" s="6" t="s">
        <v>16</v>
      </c>
      <c r="AH26" s="6" t="s">
        <v>16</v>
      </c>
      <c r="AI26" s="6" t="s">
        <v>16</v>
      </c>
      <c r="AJ26" s="6" t="s">
        <v>16</v>
      </c>
      <c r="AK26" s="6" t="s">
        <v>16</v>
      </c>
      <c r="AL26" s="6" t="s">
        <v>0</v>
      </c>
      <c r="AM26" s="8"/>
    </row>
    <row r="27" spans="2:39" ht="21">
      <c r="B27" s="4">
        <v>1402231</v>
      </c>
      <c r="C27" s="12" t="s">
        <v>51</v>
      </c>
      <c r="D27" s="5" t="s">
        <v>114</v>
      </c>
      <c r="E27" s="5" t="s">
        <v>12</v>
      </c>
      <c r="F27" s="5" t="s">
        <v>13</v>
      </c>
      <c r="G27" s="5" t="s">
        <v>14</v>
      </c>
      <c r="H27" s="5">
        <f t="shared" si="1"/>
        <v>7</v>
      </c>
      <c r="I27" s="6" t="s">
        <v>0</v>
      </c>
      <c r="J27" s="6" t="s">
        <v>0</v>
      </c>
      <c r="K27" s="6" t="s">
        <v>0</v>
      </c>
      <c r="L27" s="6" t="s">
        <v>0</v>
      </c>
      <c r="M27" s="6" t="s">
        <v>22</v>
      </c>
      <c r="N27" s="6" t="s">
        <v>22</v>
      </c>
      <c r="O27" s="6" t="s">
        <v>22</v>
      </c>
      <c r="P27" s="6" t="s">
        <v>15</v>
      </c>
      <c r="Q27" s="6" t="s">
        <v>0</v>
      </c>
      <c r="R27" s="6" t="s">
        <v>0</v>
      </c>
      <c r="S27" s="6" t="s">
        <v>0</v>
      </c>
      <c r="T27" s="6" t="s">
        <v>0</v>
      </c>
      <c r="U27" s="6" t="s">
        <v>0</v>
      </c>
      <c r="V27" s="6" t="s">
        <v>0</v>
      </c>
      <c r="W27" s="6" t="s">
        <v>0</v>
      </c>
      <c r="X27" s="6" t="s">
        <v>0</v>
      </c>
      <c r="Y27" s="7" t="s">
        <v>0</v>
      </c>
      <c r="Z27" s="6" t="s">
        <v>0</v>
      </c>
      <c r="AA27" s="6" t="s">
        <v>22</v>
      </c>
      <c r="AB27" s="6" t="s">
        <v>22</v>
      </c>
      <c r="AC27" s="6" t="s">
        <v>22</v>
      </c>
      <c r="AD27" s="6" t="s">
        <v>15</v>
      </c>
      <c r="AE27" s="6" t="s">
        <v>0</v>
      </c>
      <c r="AF27" s="6" t="s">
        <v>0</v>
      </c>
      <c r="AG27" s="6" t="s">
        <v>0</v>
      </c>
      <c r="AH27" s="6" t="s">
        <v>0</v>
      </c>
      <c r="AI27" s="6" t="s">
        <v>0</v>
      </c>
      <c r="AJ27" s="6" t="s">
        <v>0</v>
      </c>
      <c r="AK27" s="6" t="s">
        <v>22</v>
      </c>
      <c r="AL27" s="6" t="s">
        <v>22</v>
      </c>
      <c r="AM27" s="8"/>
    </row>
    <row r="28" spans="2:39" ht="21">
      <c r="B28" s="4">
        <v>200509251</v>
      </c>
      <c r="C28" s="12" t="s">
        <v>52</v>
      </c>
      <c r="D28" s="5" t="s">
        <v>114</v>
      </c>
      <c r="E28" s="5" t="s">
        <v>12</v>
      </c>
      <c r="F28" s="5" t="s">
        <v>13</v>
      </c>
      <c r="G28" s="5" t="s">
        <v>14</v>
      </c>
      <c r="H28" s="5" t="str">
        <f t="shared" si="1"/>
        <v>1</v>
      </c>
      <c r="I28" s="6" t="s">
        <v>16</v>
      </c>
      <c r="J28" s="6" t="s">
        <v>16</v>
      </c>
      <c r="K28" s="6" t="s">
        <v>16</v>
      </c>
      <c r="L28" s="6" t="s">
        <v>16</v>
      </c>
      <c r="M28" s="6" t="s">
        <v>16</v>
      </c>
      <c r="N28" s="6" t="s">
        <v>16</v>
      </c>
      <c r="O28" s="6" t="s">
        <v>16</v>
      </c>
      <c r="P28" s="6" t="s">
        <v>16</v>
      </c>
      <c r="Q28" s="6" t="s">
        <v>16</v>
      </c>
      <c r="R28" s="6" t="s">
        <v>16</v>
      </c>
      <c r="S28" s="6" t="s">
        <v>16</v>
      </c>
      <c r="T28" s="6" t="s">
        <v>16</v>
      </c>
      <c r="U28" s="6" t="s">
        <v>16</v>
      </c>
      <c r="V28" s="6" t="s">
        <v>16</v>
      </c>
      <c r="W28" s="6" t="s">
        <v>16</v>
      </c>
      <c r="X28" s="6" t="s">
        <v>16</v>
      </c>
      <c r="Y28" s="7" t="s">
        <v>16</v>
      </c>
      <c r="Z28" s="6" t="s">
        <v>16</v>
      </c>
      <c r="AA28" s="6" t="s">
        <v>16</v>
      </c>
      <c r="AB28" s="6" t="s">
        <v>16</v>
      </c>
      <c r="AC28" s="6" t="s">
        <v>16</v>
      </c>
      <c r="AD28" s="6" t="s">
        <v>16</v>
      </c>
      <c r="AE28" s="6" t="s">
        <v>16</v>
      </c>
      <c r="AF28" s="6" t="s">
        <v>16</v>
      </c>
      <c r="AG28" s="6" t="s">
        <v>16</v>
      </c>
      <c r="AH28" s="6" t="s">
        <v>16</v>
      </c>
      <c r="AI28" s="6" t="s">
        <v>16</v>
      </c>
      <c r="AJ28" s="6" t="s">
        <v>16</v>
      </c>
      <c r="AK28" s="6" t="s">
        <v>16</v>
      </c>
      <c r="AL28" s="6" t="s">
        <v>0</v>
      </c>
      <c r="AM28" s="8"/>
    </row>
    <row r="29" spans="2:39" ht="20.25" customHeight="1">
      <c r="B29" s="4">
        <v>202809251</v>
      </c>
      <c r="C29" s="12" t="s">
        <v>53</v>
      </c>
      <c r="D29" s="5" t="s">
        <v>114</v>
      </c>
      <c r="E29" s="5" t="s">
        <v>12</v>
      </c>
      <c r="F29" s="5" t="s">
        <v>13</v>
      </c>
      <c r="G29" s="5" t="s">
        <v>14</v>
      </c>
      <c r="H29" s="5" t="str">
        <f t="shared" si="1"/>
        <v>1</v>
      </c>
      <c r="I29" s="6" t="s">
        <v>16</v>
      </c>
      <c r="J29" s="6" t="s">
        <v>16</v>
      </c>
      <c r="K29" s="6" t="s">
        <v>16</v>
      </c>
      <c r="L29" s="6" t="s">
        <v>16</v>
      </c>
      <c r="M29" s="6" t="s">
        <v>16</v>
      </c>
      <c r="N29" s="6" t="s">
        <v>16</v>
      </c>
      <c r="O29" s="6" t="s">
        <v>16</v>
      </c>
      <c r="P29" s="6" t="s">
        <v>16</v>
      </c>
      <c r="Q29" s="6" t="s">
        <v>16</v>
      </c>
      <c r="R29" s="6" t="s">
        <v>16</v>
      </c>
      <c r="S29" s="6" t="s">
        <v>16</v>
      </c>
      <c r="T29" s="6" t="s">
        <v>16</v>
      </c>
      <c r="U29" s="6" t="s">
        <v>16</v>
      </c>
      <c r="V29" s="6" t="s">
        <v>16</v>
      </c>
      <c r="W29" s="6" t="s">
        <v>16</v>
      </c>
      <c r="X29" s="6" t="s">
        <v>16</v>
      </c>
      <c r="Y29" s="7" t="s">
        <v>16</v>
      </c>
      <c r="Z29" s="6" t="s">
        <v>16</v>
      </c>
      <c r="AA29" s="6" t="s">
        <v>16</v>
      </c>
      <c r="AB29" s="6" t="s">
        <v>16</v>
      </c>
      <c r="AC29" s="6" t="s">
        <v>16</v>
      </c>
      <c r="AD29" s="6" t="s">
        <v>16</v>
      </c>
      <c r="AE29" s="6" t="s">
        <v>16</v>
      </c>
      <c r="AF29" s="6" t="s">
        <v>16</v>
      </c>
      <c r="AG29" s="6" t="s">
        <v>16</v>
      </c>
      <c r="AH29" s="6" t="s">
        <v>16</v>
      </c>
      <c r="AI29" s="6" t="s">
        <v>16</v>
      </c>
      <c r="AJ29" s="6" t="s">
        <v>16</v>
      </c>
      <c r="AK29" s="6" t="s">
        <v>16</v>
      </c>
      <c r="AL29" s="6" t="s">
        <v>16</v>
      </c>
      <c r="AM29" s="8"/>
    </row>
    <row r="30" spans="2:39" ht="21">
      <c r="B30" s="4">
        <v>201261</v>
      </c>
      <c r="C30" s="12" t="s">
        <v>55</v>
      </c>
      <c r="D30" s="5" t="s">
        <v>114</v>
      </c>
      <c r="E30" s="5" t="s">
        <v>12</v>
      </c>
      <c r="F30" s="5" t="s">
        <v>13</v>
      </c>
      <c r="G30" s="5" t="s">
        <v>14</v>
      </c>
      <c r="H30" s="5">
        <f t="shared" si="1"/>
        <v>7</v>
      </c>
      <c r="I30" s="6" t="s">
        <v>16</v>
      </c>
      <c r="J30" s="6" t="s">
        <v>16</v>
      </c>
      <c r="K30" s="6" t="s">
        <v>16</v>
      </c>
      <c r="L30" s="6" t="s">
        <v>16</v>
      </c>
      <c r="M30" s="6" t="s">
        <v>16</v>
      </c>
      <c r="N30" s="6" t="s">
        <v>16</v>
      </c>
      <c r="O30" s="6" t="s">
        <v>16</v>
      </c>
      <c r="P30" s="6" t="s">
        <v>16</v>
      </c>
      <c r="Q30" s="6" t="s">
        <v>16</v>
      </c>
      <c r="R30" s="6" t="s">
        <v>16</v>
      </c>
      <c r="S30" s="6" t="s">
        <v>0</v>
      </c>
      <c r="T30" s="6" t="s">
        <v>0</v>
      </c>
      <c r="U30" s="6" t="s">
        <v>0</v>
      </c>
      <c r="V30" s="6" t="s">
        <v>0</v>
      </c>
      <c r="W30" s="6" t="s">
        <v>0</v>
      </c>
      <c r="X30" s="6" t="s">
        <v>0</v>
      </c>
      <c r="Y30" s="6" t="s">
        <v>0</v>
      </c>
      <c r="Z30" s="6" t="s">
        <v>22</v>
      </c>
      <c r="AA30" s="6" t="s">
        <v>22</v>
      </c>
      <c r="AB30" s="6" t="s">
        <v>22</v>
      </c>
      <c r="AC30" s="6" t="s">
        <v>22</v>
      </c>
      <c r="AD30" s="6" t="s">
        <v>15</v>
      </c>
      <c r="AE30" s="6" t="s">
        <v>0</v>
      </c>
      <c r="AF30" s="6" t="s">
        <v>0</v>
      </c>
      <c r="AG30" s="6" t="s">
        <v>0</v>
      </c>
      <c r="AH30" s="6" t="s">
        <v>0</v>
      </c>
      <c r="AI30" s="6" t="s">
        <v>0</v>
      </c>
      <c r="AJ30" s="6" t="s">
        <v>0</v>
      </c>
      <c r="AK30" s="6" t="s">
        <v>0</v>
      </c>
      <c r="AL30" s="6" t="s">
        <v>0</v>
      </c>
      <c r="AM30" s="8"/>
    </row>
    <row r="31" spans="2:39" ht="21">
      <c r="B31" s="4">
        <v>2405261</v>
      </c>
      <c r="C31" s="12" t="s">
        <v>56</v>
      </c>
      <c r="D31" s="5" t="s">
        <v>114</v>
      </c>
      <c r="E31" s="5" t="s">
        <v>12</v>
      </c>
      <c r="F31" s="5" t="s">
        <v>13</v>
      </c>
      <c r="G31" s="5" t="s">
        <v>14</v>
      </c>
      <c r="H31" s="5">
        <f t="shared" si="1"/>
        <v>5</v>
      </c>
      <c r="I31" s="6" t="s">
        <v>0</v>
      </c>
      <c r="J31" s="6" t="s">
        <v>0</v>
      </c>
      <c r="K31" s="6" t="s">
        <v>0</v>
      </c>
      <c r="L31" s="6" t="s">
        <v>0</v>
      </c>
      <c r="M31" s="6" t="s">
        <v>0</v>
      </c>
      <c r="N31" s="6" t="s">
        <v>22</v>
      </c>
      <c r="O31" s="6" t="s">
        <v>22</v>
      </c>
      <c r="P31" s="6" t="s">
        <v>22</v>
      </c>
      <c r="Q31" s="6" t="s">
        <v>22</v>
      </c>
      <c r="R31" s="6" t="s">
        <v>15</v>
      </c>
      <c r="S31" s="6" t="s">
        <v>0</v>
      </c>
      <c r="T31" s="6" t="s">
        <v>0</v>
      </c>
      <c r="U31" s="6" t="s">
        <v>0</v>
      </c>
      <c r="V31" s="6" t="s">
        <v>0</v>
      </c>
      <c r="W31" s="6" t="s">
        <v>0</v>
      </c>
      <c r="X31" s="6" t="s">
        <v>0</v>
      </c>
      <c r="Y31" s="7" t="s">
        <v>0</v>
      </c>
      <c r="Z31" s="6" t="s">
        <v>0</v>
      </c>
      <c r="AA31" s="6" t="s">
        <v>0</v>
      </c>
      <c r="AB31" s="6" t="s">
        <v>0</v>
      </c>
      <c r="AC31" s="6" t="s">
        <v>22</v>
      </c>
      <c r="AD31" s="6" t="s">
        <v>22</v>
      </c>
      <c r="AE31" s="6" t="s">
        <v>16</v>
      </c>
      <c r="AF31" s="6" t="s">
        <v>16</v>
      </c>
      <c r="AG31" s="6" t="s">
        <v>16</v>
      </c>
      <c r="AH31" s="6" t="s">
        <v>16</v>
      </c>
      <c r="AI31" s="6" t="s">
        <v>16</v>
      </c>
      <c r="AJ31" s="6" t="s">
        <v>16</v>
      </c>
      <c r="AK31" s="6" t="s">
        <v>16</v>
      </c>
      <c r="AL31" s="6" t="s">
        <v>16</v>
      </c>
      <c r="AM31" s="8"/>
    </row>
    <row r="32" spans="2:39" ht="21">
      <c r="B32" s="4">
        <v>2405262</v>
      </c>
      <c r="C32" s="12" t="s">
        <v>58</v>
      </c>
      <c r="D32" s="5" t="s">
        <v>114</v>
      </c>
      <c r="E32" s="5" t="s">
        <v>12</v>
      </c>
      <c r="F32" s="5" t="s">
        <v>13</v>
      </c>
      <c r="G32" s="5" t="s">
        <v>14</v>
      </c>
      <c r="H32" s="5">
        <f t="shared" si="1"/>
        <v>4</v>
      </c>
      <c r="I32" s="6" t="s">
        <v>0</v>
      </c>
      <c r="J32" s="6" t="s">
        <v>0</v>
      </c>
      <c r="K32" s="6" t="s">
        <v>0</v>
      </c>
      <c r="L32" s="6" t="s">
        <v>0</v>
      </c>
      <c r="M32" s="6" t="s">
        <v>0</v>
      </c>
      <c r="N32" s="6" t="s">
        <v>0</v>
      </c>
      <c r="O32" s="6" t="s">
        <v>0</v>
      </c>
      <c r="P32" s="6" t="s">
        <v>22</v>
      </c>
      <c r="Q32" s="6" t="s">
        <v>22</v>
      </c>
      <c r="R32" s="6" t="s">
        <v>22</v>
      </c>
      <c r="S32" s="6" t="s">
        <v>15</v>
      </c>
      <c r="T32" s="6" t="s">
        <v>0</v>
      </c>
      <c r="U32" s="6" t="s">
        <v>0</v>
      </c>
      <c r="V32" s="6" t="s">
        <v>0</v>
      </c>
      <c r="W32" s="6" t="s">
        <v>0</v>
      </c>
      <c r="X32" s="6" t="s">
        <v>0</v>
      </c>
      <c r="Y32" s="7" t="s">
        <v>0</v>
      </c>
      <c r="Z32" s="6" t="s">
        <v>0</v>
      </c>
      <c r="AA32" s="6" t="s">
        <v>16</v>
      </c>
      <c r="AB32" s="6" t="s">
        <v>16</v>
      </c>
      <c r="AC32" s="6" t="s">
        <v>16</v>
      </c>
      <c r="AD32" s="6" t="s">
        <v>16</v>
      </c>
      <c r="AE32" s="6" t="s">
        <v>16</v>
      </c>
      <c r="AF32" s="6" t="s">
        <v>16</v>
      </c>
      <c r="AG32" s="6" t="s">
        <v>16</v>
      </c>
      <c r="AH32" s="6" t="s">
        <v>16</v>
      </c>
      <c r="AI32" s="6" t="s">
        <v>16</v>
      </c>
      <c r="AJ32" s="6" t="s">
        <v>16</v>
      </c>
      <c r="AK32" s="6" t="s">
        <v>16</v>
      </c>
      <c r="AL32" s="6" t="s">
        <v>16</v>
      </c>
      <c r="AM32" s="8"/>
    </row>
    <row r="33" spans="2:39" ht="21">
      <c r="B33" s="4">
        <v>1906252</v>
      </c>
      <c r="C33" s="12" t="s">
        <v>60</v>
      </c>
      <c r="D33" s="5" t="s">
        <v>114</v>
      </c>
      <c r="E33" s="5" t="s">
        <v>12</v>
      </c>
      <c r="F33" s="5" t="s">
        <v>13</v>
      </c>
      <c r="G33" s="5" t="s">
        <v>59</v>
      </c>
      <c r="H33" s="5" t="str">
        <f>IFERROR(MOD(14-(MATCH("OFF",I33:AL33,0)-1)-1,14)+1,"8")</f>
        <v>8</v>
      </c>
      <c r="I33" s="6" t="s">
        <v>0</v>
      </c>
      <c r="J33" s="6" t="s">
        <v>0</v>
      </c>
      <c r="K33" s="6" t="s">
        <v>0</v>
      </c>
      <c r="L33" s="6" t="s">
        <v>0</v>
      </c>
      <c r="M33" s="6" t="s">
        <v>16</v>
      </c>
      <c r="N33" s="6" t="s">
        <v>16</v>
      </c>
      <c r="O33" s="6" t="s">
        <v>16</v>
      </c>
      <c r="P33" s="6" t="s">
        <v>16</v>
      </c>
      <c r="Q33" s="6" t="s">
        <v>16</v>
      </c>
      <c r="R33" s="6" t="s">
        <v>16</v>
      </c>
      <c r="S33" s="6" t="s">
        <v>16</v>
      </c>
      <c r="T33" s="6" t="s">
        <v>16</v>
      </c>
      <c r="U33" s="6" t="s">
        <v>16</v>
      </c>
      <c r="V33" s="6" t="s">
        <v>16</v>
      </c>
      <c r="W33" s="6" t="s">
        <v>16</v>
      </c>
      <c r="X33" s="6" t="s">
        <v>16</v>
      </c>
      <c r="Y33" s="7" t="s">
        <v>16</v>
      </c>
      <c r="Z33" s="6" t="s">
        <v>16</v>
      </c>
      <c r="AA33" s="6" t="s">
        <v>16</v>
      </c>
      <c r="AB33" s="6" t="s">
        <v>34</v>
      </c>
      <c r="AC33" s="6" t="s">
        <v>34</v>
      </c>
      <c r="AD33" s="6" t="s">
        <v>0</v>
      </c>
      <c r="AE33" s="6" t="s">
        <v>0</v>
      </c>
      <c r="AF33" s="6" t="s">
        <v>0</v>
      </c>
      <c r="AG33" s="6" t="s">
        <v>0</v>
      </c>
      <c r="AH33" s="6" t="s">
        <v>0</v>
      </c>
      <c r="AI33" s="6" t="s">
        <v>0</v>
      </c>
      <c r="AJ33" s="6" t="s">
        <v>0</v>
      </c>
      <c r="AK33" s="6" t="s">
        <v>0</v>
      </c>
      <c r="AL33" s="6" t="s">
        <v>0</v>
      </c>
      <c r="AM33" s="8"/>
    </row>
    <row r="34" spans="2:39" ht="21">
      <c r="B34" s="4">
        <v>201409251</v>
      </c>
      <c r="C34" s="12" t="s">
        <v>61</v>
      </c>
      <c r="D34" s="5" t="s">
        <v>109</v>
      </c>
      <c r="E34" s="5" t="s">
        <v>12</v>
      </c>
      <c r="F34" s="5" t="s">
        <v>13</v>
      </c>
      <c r="G34" s="5" t="s">
        <v>59</v>
      </c>
      <c r="H34" s="5">
        <f t="shared" si="1"/>
        <v>11</v>
      </c>
      <c r="I34" s="6" t="s">
        <v>0</v>
      </c>
      <c r="J34" s="6" t="s">
        <v>0</v>
      </c>
      <c r="K34" s="6" t="s">
        <v>0</v>
      </c>
      <c r="L34" s="6" t="s">
        <v>15</v>
      </c>
      <c r="M34" s="6" t="s">
        <v>0</v>
      </c>
      <c r="N34" s="6" t="s">
        <v>0</v>
      </c>
      <c r="O34" s="6" t="s">
        <v>0</v>
      </c>
      <c r="P34" s="6" t="s">
        <v>0</v>
      </c>
      <c r="Q34" s="6" t="s">
        <v>0</v>
      </c>
      <c r="R34" s="6" t="s">
        <v>0</v>
      </c>
      <c r="S34" s="6" t="s">
        <v>0</v>
      </c>
      <c r="T34" s="6" t="s">
        <v>0</v>
      </c>
      <c r="U34" s="6" t="s">
        <v>0</v>
      </c>
      <c r="V34" s="6" t="s">
        <v>0</v>
      </c>
      <c r="W34" s="6" t="s">
        <v>0</v>
      </c>
      <c r="X34" s="6" t="s">
        <v>0</v>
      </c>
      <c r="Y34" s="7" t="s">
        <v>0</v>
      </c>
      <c r="Z34" s="6" t="s">
        <v>15</v>
      </c>
      <c r="AA34" s="6" t="s">
        <v>16</v>
      </c>
      <c r="AB34" s="6" t="s">
        <v>16</v>
      </c>
      <c r="AC34" s="6" t="s">
        <v>16</v>
      </c>
      <c r="AD34" s="6" t="s">
        <v>16</v>
      </c>
      <c r="AE34" s="6" t="s">
        <v>16</v>
      </c>
      <c r="AF34" s="6" t="s">
        <v>16</v>
      </c>
      <c r="AG34" s="6" t="s">
        <v>16</v>
      </c>
      <c r="AH34" s="6" t="s">
        <v>16</v>
      </c>
      <c r="AI34" s="6" t="s">
        <v>16</v>
      </c>
      <c r="AJ34" s="6" t="s">
        <v>16</v>
      </c>
      <c r="AK34" s="6" t="s">
        <v>16</v>
      </c>
      <c r="AL34" s="6" t="s">
        <v>16</v>
      </c>
      <c r="AM34" s="8"/>
    </row>
    <row r="35" spans="2:39" ht="21">
      <c r="B35" s="4">
        <v>206231</v>
      </c>
      <c r="C35" s="12" t="s">
        <v>62</v>
      </c>
      <c r="D35" s="5" t="s">
        <v>109</v>
      </c>
      <c r="E35" s="5" t="s">
        <v>12</v>
      </c>
      <c r="F35" s="5" t="s">
        <v>13</v>
      </c>
      <c r="G35" s="5" t="s">
        <v>59</v>
      </c>
      <c r="H35" s="5">
        <f t="shared" si="1"/>
        <v>9</v>
      </c>
      <c r="I35" s="6" t="s">
        <v>0</v>
      </c>
      <c r="J35" s="6" t="s">
        <v>0</v>
      </c>
      <c r="K35" s="6" t="s">
        <v>0</v>
      </c>
      <c r="L35" s="6" t="s">
        <v>0</v>
      </c>
      <c r="M35" s="6" t="s">
        <v>0</v>
      </c>
      <c r="N35" s="6" t="s">
        <v>15</v>
      </c>
      <c r="O35" s="6" t="s">
        <v>0</v>
      </c>
      <c r="P35" s="6" t="s">
        <v>0</v>
      </c>
      <c r="Q35" s="6" t="s">
        <v>0</v>
      </c>
      <c r="R35" s="6" t="s">
        <v>0</v>
      </c>
      <c r="S35" s="6" t="s">
        <v>0</v>
      </c>
      <c r="T35" s="6" t="s">
        <v>0</v>
      </c>
      <c r="U35" s="6" t="s">
        <v>0</v>
      </c>
      <c r="V35" s="6" t="s">
        <v>0</v>
      </c>
      <c r="W35" s="6" t="s">
        <v>0</v>
      </c>
      <c r="X35" s="6" t="s">
        <v>0</v>
      </c>
      <c r="Y35" s="7" t="s">
        <v>0</v>
      </c>
      <c r="Z35" s="6" t="s">
        <v>0</v>
      </c>
      <c r="AA35" s="6" t="s">
        <v>0</v>
      </c>
      <c r="AB35" s="6" t="s">
        <v>15</v>
      </c>
      <c r="AC35" s="6" t="s">
        <v>0</v>
      </c>
      <c r="AD35" s="6" t="s">
        <v>0</v>
      </c>
      <c r="AE35" s="6" t="s">
        <v>0</v>
      </c>
      <c r="AF35" s="6" t="s">
        <v>0</v>
      </c>
      <c r="AG35" s="6" t="s">
        <v>0</v>
      </c>
      <c r="AH35" s="6" t="s">
        <v>0</v>
      </c>
      <c r="AI35" s="6" t="s">
        <v>0</v>
      </c>
      <c r="AJ35" s="6" t="s">
        <v>0</v>
      </c>
      <c r="AK35" s="6" t="s">
        <v>0</v>
      </c>
      <c r="AL35" s="6" t="s">
        <v>0</v>
      </c>
      <c r="AM35" s="8"/>
    </row>
    <row r="36" spans="2:39" ht="21.5" thickBot="1">
      <c r="B36" s="4">
        <v>2703251</v>
      </c>
      <c r="C36" s="12" t="s">
        <v>63</v>
      </c>
      <c r="D36" s="5" t="s">
        <v>109</v>
      </c>
      <c r="E36" s="5" t="s">
        <v>12</v>
      </c>
      <c r="F36" s="5" t="s">
        <v>13</v>
      </c>
      <c r="G36" s="5" t="s">
        <v>59</v>
      </c>
      <c r="H36" s="5">
        <f t="shared" si="1"/>
        <v>2</v>
      </c>
      <c r="I36" s="6" t="s">
        <v>0</v>
      </c>
      <c r="J36" s="6" t="s">
        <v>0</v>
      </c>
      <c r="K36" s="6" t="s">
        <v>0</v>
      </c>
      <c r="L36" s="6" t="s">
        <v>0</v>
      </c>
      <c r="M36" s="6" t="s">
        <v>0</v>
      </c>
      <c r="N36" s="6" t="s">
        <v>0</v>
      </c>
      <c r="O36" s="6" t="s">
        <v>0</v>
      </c>
      <c r="P36" s="6" t="s">
        <v>0</v>
      </c>
      <c r="Q36" s="6" t="s">
        <v>0</v>
      </c>
      <c r="R36" s="6" t="s">
        <v>0</v>
      </c>
      <c r="S36" s="6" t="s">
        <v>0</v>
      </c>
      <c r="T36" s="6" t="s">
        <v>0</v>
      </c>
      <c r="U36" s="6" t="s">
        <v>15</v>
      </c>
      <c r="V36" s="6" t="s">
        <v>0</v>
      </c>
      <c r="W36" s="6" t="s">
        <v>0</v>
      </c>
      <c r="X36" s="6" t="s">
        <v>0</v>
      </c>
      <c r="Y36" s="7" t="s">
        <v>0</v>
      </c>
      <c r="Z36" s="6" t="s">
        <v>0</v>
      </c>
      <c r="AA36" s="6" t="s">
        <v>0</v>
      </c>
      <c r="AB36" s="6" t="s">
        <v>0</v>
      </c>
      <c r="AC36" s="6" t="s">
        <v>0</v>
      </c>
      <c r="AD36" s="6" t="s">
        <v>0</v>
      </c>
      <c r="AE36" s="6" t="s">
        <v>0</v>
      </c>
      <c r="AF36" s="6" t="s">
        <v>0</v>
      </c>
      <c r="AG36" s="6" t="s">
        <v>0</v>
      </c>
      <c r="AH36" s="6" t="s">
        <v>0</v>
      </c>
      <c r="AI36" s="6" t="s">
        <v>15</v>
      </c>
      <c r="AJ36" s="6" t="s">
        <v>0</v>
      </c>
      <c r="AK36" s="6" t="s">
        <v>0</v>
      </c>
      <c r="AL36" s="6" t="s">
        <v>0</v>
      </c>
      <c r="AM36" s="8"/>
    </row>
    <row r="37" spans="2:39" ht="21">
      <c r="B37" s="4">
        <v>1303221</v>
      </c>
      <c r="C37" s="12" t="s">
        <v>64</v>
      </c>
      <c r="D37" s="5" t="s">
        <v>109</v>
      </c>
      <c r="E37" s="5" t="s">
        <v>12</v>
      </c>
      <c r="F37" s="5" t="s">
        <v>13</v>
      </c>
      <c r="G37" s="5" t="s">
        <v>59</v>
      </c>
      <c r="H37" s="5" t="str">
        <f>IFERROR(MOD(14-(MATCH("OFF",I37:AL37,0)-1)-1,14)+1,"10")</f>
        <v>10</v>
      </c>
      <c r="I37" s="6" t="s">
        <v>0</v>
      </c>
      <c r="J37" s="6" t="s">
        <v>0</v>
      </c>
      <c r="K37" s="6" t="s">
        <v>0</v>
      </c>
      <c r="L37" s="6" t="s">
        <v>0</v>
      </c>
      <c r="M37" s="6" t="s">
        <v>0</v>
      </c>
      <c r="N37" s="6" t="s">
        <v>0</v>
      </c>
      <c r="O37" s="6" t="s">
        <v>0</v>
      </c>
      <c r="P37" s="16" t="s">
        <v>0</v>
      </c>
      <c r="Q37" s="16" t="s">
        <v>0</v>
      </c>
      <c r="R37" s="16" t="s">
        <v>16</v>
      </c>
      <c r="S37" s="16" t="s">
        <v>16</v>
      </c>
      <c r="T37" s="16" t="s">
        <v>16</v>
      </c>
      <c r="U37" s="16" t="s">
        <v>16</v>
      </c>
      <c r="V37" s="16" t="s">
        <v>16</v>
      </c>
      <c r="W37" s="16" t="s">
        <v>16</v>
      </c>
      <c r="X37" s="16" t="s">
        <v>16</v>
      </c>
      <c r="Y37" s="16" t="s">
        <v>16</v>
      </c>
      <c r="Z37" s="16" t="s">
        <v>16</v>
      </c>
      <c r="AA37" s="16" t="s">
        <v>16</v>
      </c>
      <c r="AB37" s="16" t="s">
        <v>16</v>
      </c>
      <c r="AC37" s="16" t="s">
        <v>16</v>
      </c>
      <c r="AD37" s="16" t="s">
        <v>16</v>
      </c>
      <c r="AE37" s="16" t="s">
        <v>16</v>
      </c>
      <c r="AF37" s="16" t="s">
        <v>16</v>
      </c>
      <c r="AG37" s="16" t="s">
        <v>16</v>
      </c>
      <c r="AH37" s="16" t="s">
        <v>16</v>
      </c>
      <c r="AI37" s="16" t="s">
        <v>0</v>
      </c>
      <c r="AJ37" s="16" t="s">
        <v>0</v>
      </c>
      <c r="AK37" s="16" t="s">
        <v>0</v>
      </c>
      <c r="AL37" s="16" t="s">
        <v>0</v>
      </c>
      <c r="AM37" s="17"/>
    </row>
    <row r="38" spans="2:39" ht="21">
      <c r="B38" s="4">
        <v>108235</v>
      </c>
      <c r="C38" s="12" t="s">
        <v>66</v>
      </c>
      <c r="D38" s="5" t="s">
        <v>109</v>
      </c>
      <c r="E38" s="5" t="s">
        <v>12</v>
      </c>
      <c r="F38" s="5" t="s">
        <v>13</v>
      </c>
      <c r="G38" s="5" t="s">
        <v>59</v>
      </c>
      <c r="H38" s="5" t="str">
        <f>IFERROR(MOD(14-(MATCH("OFF",I38:AL38,0)-1)-1,14)+1,"9")</f>
        <v>9</v>
      </c>
      <c r="I38" s="6" t="s">
        <v>0</v>
      </c>
      <c r="J38" s="6" t="s">
        <v>0</v>
      </c>
      <c r="K38" s="6" t="s">
        <v>16</v>
      </c>
      <c r="L38" s="6" t="s">
        <v>16</v>
      </c>
      <c r="M38" s="6" t="s">
        <v>16</v>
      </c>
      <c r="N38" s="6" t="s">
        <v>16</v>
      </c>
      <c r="O38" s="6" t="s">
        <v>16</v>
      </c>
      <c r="P38" s="6" t="s">
        <v>16</v>
      </c>
      <c r="Q38" s="6" t="s">
        <v>16</v>
      </c>
      <c r="R38" s="6" t="s">
        <v>16</v>
      </c>
      <c r="S38" s="6" t="s">
        <v>16</v>
      </c>
      <c r="T38" s="6" t="s">
        <v>16</v>
      </c>
      <c r="U38" s="6" t="s">
        <v>16</v>
      </c>
      <c r="V38" s="6" t="s">
        <v>16</v>
      </c>
      <c r="W38" s="6" t="s">
        <v>16</v>
      </c>
      <c r="X38" s="6" t="s">
        <v>16</v>
      </c>
      <c r="Y38" s="7" t="s">
        <v>16</v>
      </c>
      <c r="Z38" s="6" t="s">
        <v>16</v>
      </c>
      <c r="AA38" s="6" t="s">
        <v>16</v>
      </c>
      <c r="AB38" s="6" t="s">
        <v>27</v>
      </c>
      <c r="AC38" s="6" t="s">
        <v>27</v>
      </c>
      <c r="AD38" s="6" t="s">
        <v>27</v>
      </c>
      <c r="AE38" s="6" t="s">
        <v>0</v>
      </c>
      <c r="AF38" s="6" t="s">
        <v>0</v>
      </c>
      <c r="AG38" s="6" t="s">
        <v>0</v>
      </c>
      <c r="AH38" s="6" t="s">
        <v>0</v>
      </c>
      <c r="AI38" s="6" t="s">
        <v>0</v>
      </c>
      <c r="AJ38" s="6" t="s">
        <v>22</v>
      </c>
      <c r="AK38" s="6" t="s">
        <v>22</v>
      </c>
      <c r="AL38" s="6" t="s">
        <v>22</v>
      </c>
      <c r="AM38" s="8"/>
    </row>
    <row r="39" spans="2:39" ht="21">
      <c r="B39" s="4">
        <v>108238</v>
      </c>
      <c r="C39" s="12" t="s">
        <v>67</v>
      </c>
      <c r="D39" s="5" t="s">
        <v>109</v>
      </c>
      <c r="E39" s="5" t="s">
        <v>12</v>
      </c>
      <c r="F39" s="5" t="s">
        <v>13</v>
      </c>
      <c r="G39" s="5" t="s">
        <v>59</v>
      </c>
      <c r="H39" s="5">
        <f t="shared" si="1"/>
        <v>4</v>
      </c>
      <c r="I39" s="6" t="s">
        <v>0</v>
      </c>
      <c r="J39" s="6" t="s">
        <v>0</v>
      </c>
      <c r="K39" s="6" t="s">
        <v>0</v>
      </c>
      <c r="L39" s="6" t="s">
        <v>0</v>
      </c>
      <c r="M39" s="6" t="s">
        <v>0</v>
      </c>
      <c r="N39" s="6" t="s">
        <v>0</v>
      </c>
      <c r="O39" s="6" t="s">
        <v>0</v>
      </c>
      <c r="P39" s="6" t="s">
        <v>0</v>
      </c>
      <c r="Q39" s="6" t="s">
        <v>0</v>
      </c>
      <c r="R39" s="6" t="s">
        <v>0</v>
      </c>
      <c r="S39" s="6" t="s">
        <v>15</v>
      </c>
      <c r="T39" s="6" t="s">
        <v>0</v>
      </c>
      <c r="U39" s="6" t="s">
        <v>0</v>
      </c>
      <c r="V39" s="6" t="s">
        <v>0</v>
      </c>
      <c r="W39" s="6" t="s">
        <v>0</v>
      </c>
      <c r="X39" s="6" t="s">
        <v>0</v>
      </c>
      <c r="Y39" s="7" t="s">
        <v>0</v>
      </c>
      <c r="Z39" s="6" t="s">
        <v>0</v>
      </c>
      <c r="AA39" s="6" t="s">
        <v>0</v>
      </c>
      <c r="AB39" s="6" t="s">
        <v>22</v>
      </c>
      <c r="AC39" s="6" t="s">
        <v>22</v>
      </c>
      <c r="AD39" s="6" t="s">
        <v>22</v>
      </c>
      <c r="AE39" s="6" t="s">
        <v>22</v>
      </c>
      <c r="AF39" s="6" t="s">
        <v>22</v>
      </c>
      <c r="AG39" s="6" t="s">
        <v>15</v>
      </c>
      <c r="AH39" s="6" t="s">
        <v>0</v>
      </c>
      <c r="AI39" s="6" t="s">
        <v>0</v>
      </c>
      <c r="AJ39" s="6" t="s">
        <v>0</v>
      </c>
      <c r="AK39" s="6" t="s">
        <v>0</v>
      </c>
      <c r="AL39" s="6" t="s">
        <v>0</v>
      </c>
      <c r="AM39" s="8"/>
    </row>
    <row r="40" spans="2:39" ht="21">
      <c r="B40" s="4">
        <v>2910241</v>
      </c>
      <c r="C40" s="12" t="s">
        <v>68</v>
      </c>
      <c r="D40" s="5" t="s">
        <v>109</v>
      </c>
      <c r="E40" s="5" t="s">
        <v>12</v>
      </c>
      <c r="F40" s="5" t="s">
        <v>13</v>
      </c>
      <c r="G40" s="5" t="s">
        <v>59</v>
      </c>
      <c r="H40" s="5">
        <f t="shared" si="1"/>
        <v>8</v>
      </c>
      <c r="I40" s="6" t="s">
        <v>0</v>
      </c>
      <c r="J40" s="6" t="s">
        <v>22</v>
      </c>
      <c r="K40" s="6" t="s">
        <v>22</v>
      </c>
      <c r="L40" s="6" t="s">
        <v>22</v>
      </c>
      <c r="M40" s="6" t="s">
        <v>22</v>
      </c>
      <c r="N40" s="6" t="s">
        <v>22</v>
      </c>
      <c r="O40" s="6" t="s">
        <v>15</v>
      </c>
      <c r="P40" s="6" t="s">
        <v>0</v>
      </c>
      <c r="Q40" s="6" t="s">
        <v>0</v>
      </c>
      <c r="R40" s="6" t="s">
        <v>0</v>
      </c>
      <c r="S40" s="6" t="s">
        <v>0</v>
      </c>
      <c r="T40" s="6" t="s">
        <v>0</v>
      </c>
      <c r="U40" s="6" t="s">
        <v>0</v>
      </c>
      <c r="V40" s="6" t="s">
        <v>0</v>
      </c>
      <c r="W40" s="6" t="s">
        <v>0</v>
      </c>
      <c r="X40" s="6" t="s">
        <v>0</v>
      </c>
      <c r="Y40" s="7" t="s">
        <v>0</v>
      </c>
      <c r="Z40" s="6" t="s">
        <v>0</v>
      </c>
      <c r="AA40" s="6" t="s">
        <v>0</v>
      </c>
      <c r="AB40" s="6" t="s">
        <v>0</v>
      </c>
      <c r="AC40" s="6" t="s">
        <v>15</v>
      </c>
      <c r="AD40" s="6" t="s">
        <v>16</v>
      </c>
      <c r="AE40" s="6" t="s">
        <v>16</v>
      </c>
      <c r="AF40" s="6" t="s">
        <v>16</v>
      </c>
      <c r="AG40" s="6" t="s">
        <v>16</v>
      </c>
      <c r="AH40" s="6" t="s">
        <v>16</v>
      </c>
      <c r="AI40" s="6" t="s">
        <v>16</v>
      </c>
      <c r="AJ40" s="6" t="s">
        <v>16</v>
      </c>
      <c r="AK40" s="6" t="s">
        <v>16</v>
      </c>
      <c r="AL40" s="6" t="s">
        <v>16</v>
      </c>
      <c r="AM40" s="8"/>
    </row>
    <row r="41" spans="2:39" ht="21">
      <c r="B41" s="4">
        <v>207253</v>
      </c>
      <c r="C41" s="12" t="s">
        <v>69</v>
      </c>
      <c r="D41" s="5" t="s">
        <v>109</v>
      </c>
      <c r="E41" s="5" t="s">
        <v>12</v>
      </c>
      <c r="F41" s="5" t="s">
        <v>13</v>
      </c>
      <c r="G41" s="5" t="s">
        <v>59</v>
      </c>
      <c r="H41" s="5">
        <f t="shared" si="1"/>
        <v>11</v>
      </c>
      <c r="I41" s="6" t="s">
        <v>0</v>
      </c>
      <c r="J41" s="6" t="s">
        <v>0</v>
      </c>
      <c r="K41" s="6" t="s">
        <v>0</v>
      </c>
      <c r="L41" s="6" t="s">
        <v>15</v>
      </c>
      <c r="M41" s="6" t="s">
        <v>0</v>
      </c>
      <c r="N41" s="6" t="s">
        <v>0</v>
      </c>
      <c r="O41" s="6" t="s">
        <v>0</v>
      </c>
      <c r="P41" s="6" t="s">
        <v>0</v>
      </c>
      <c r="Q41" s="6" t="s">
        <v>0</v>
      </c>
      <c r="R41" s="6" t="s">
        <v>0</v>
      </c>
      <c r="S41" s="6" t="s">
        <v>0</v>
      </c>
      <c r="T41" s="6" t="s">
        <v>0</v>
      </c>
      <c r="U41" s="6" t="s">
        <v>15</v>
      </c>
      <c r="V41" s="6" t="s">
        <v>0</v>
      </c>
      <c r="W41" s="6" t="s">
        <v>0</v>
      </c>
      <c r="X41" s="6" t="s">
        <v>0</v>
      </c>
      <c r="Y41" s="7" t="s">
        <v>0</v>
      </c>
      <c r="Z41" s="6" t="s">
        <v>0</v>
      </c>
      <c r="AA41" s="6" t="s">
        <v>0</v>
      </c>
      <c r="AB41" s="6" t="s">
        <v>0</v>
      </c>
      <c r="AC41" s="6" t="s">
        <v>0</v>
      </c>
      <c r="AD41" s="6" t="s">
        <v>0</v>
      </c>
      <c r="AE41" s="6" t="s">
        <v>0</v>
      </c>
      <c r="AF41" s="6" t="s">
        <v>0</v>
      </c>
      <c r="AG41" s="6" t="s">
        <v>0</v>
      </c>
      <c r="AH41" s="6" t="s">
        <v>0</v>
      </c>
      <c r="AI41" s="6" t="s">
        <v>15</v>
      </c>
      <c r="AJ41" s="6" t="s">
        <v>0</v>
      </c>
      <c r="AK41" s="6" t="s">
        <v>0</v>
      </c>
      <c r="AL41" s="6" t="s">
        <v>0</v>
      </c>
      <c r="AM41" s="8"/>
    </row>
    <row r="42" spans="2:39" ht="21">
      <c r="B42" s="4">
        <v>1102261</v>
      </c>
      <c r="C42" s="12" t="s">
        <v>70</v>
      </c>
      <c r="D42" s="5" t="s">
        <v>109</v>
      </c>
      <c r="E42" s="5" t="s">
        <v>12</v>
      </c>
      <c r="F42" s="5" t="s">
        <v>13</v>
      </c>
      <c r="G42" s="5" t="s">
        <v>59</v>
      </c>
      <c r="H42" s="5">
        <f t="shared" si="1"/>
        <v>13</v>
      </c>
      <c r="I42" s="6" t="s">
        <v>22</v>
      </c>
      <c r="J42" s="6" t="s">
        <v>15</v>
      </c>
      <c r="K42" s="6" t="s">
        <v>0</v>
      </c>
      <c r="L42" s="6" t="s">
        <v>0</v>
      </c>
      <c r="M42" s="6" t="s">
        <v>0</v>
      </c>
      <c r="N42" s="6" t="s">
        <v>0</v>
      </c>
      <c r="O42" s="6" t="s">
        <v>0</v>
      </c>
      <c r="P42" s="6" t="s">
        <v>0</v>
      </c>
      <c r="Q42" s="6" t="s">
        <v>0</v>
      </c>
      <c r="R42" s="6" t="s">
        <v>0</v>
      </c>
      <c r="S42" s="6" t="s">
        <v>0</v>
      </c>
      <c r="T42" s="6" t="s">
        <v>0</v>
      </c>
      <c r="U42" s="6" t="s">
        <v>0</v>
      </c>
      <c r="V42" s="6" t="s">
        <v>0</v>
      </c>
      <c r="W42" s="6" t="s">
        <v>0</v>
      </c>
      <c r="X42" s="6" t="s">
        <v>15</v>
      </c>
      <c r="Y42" s="7" t="s">
        <v>0</v>
      </c>
      <c r="Z42" s="6" t="s">
        <v>0</v>
      </c>
      <c r="AA42" s="6" t="s">
        <v>0</v>
      </c>
      <c r="AB42" s="6" t="s">
        <v>0</v>
      </c>
      <c r="AC42" s="6" t="s">
        <v>0</v>
      </c>
      <c r="AD42" s="6" t="s">
        <v>0</v>
      </c>
      <c r="AE42" s="6" t="s">
        <v>0</v>
      </c>
      <c r="AF42" s="6" t="s">
        <v>0</v>
      </c>
      <c r="AG42" s="6" t="s">
        <v>0</v>
      </c>
      <c r="AH42" s="6" t="s">
        <v>0</v>
      </c>
      <c r="AI42" s="6" t="s">
        <v>0</v>
      </c>
      <c r="AJ42" s="6" t="s">
        <v>0</v>
      </c>
      <c r="AK42" s="6" t="s">
        <v>0</v>
      </c>
      <c r="AL42" s="6" t="s">
        <v>15</v>
      </c>
      <c r="AM42" s="8"/>
    </row>
    <row r="43" spans="2:39" ht="21">
      <c r="B43" s="4">
        <v>1507261</v>
      </c>
      <c r="C43" s="12" t="s">
        <v>71</v>
      </c>
      <c r="D43" s="5" t="s">
        <v>109</v>
      </c>
      <c r="E43" s="5" t="s">
        <v>12</v>
      </c>
      <c r="F43" s="5" t="s">
        <v>13</v>
      </c>
      <c r="G43" s="5" t="s">
        <v>59</v>
      </c>
      <c r="H43" s="5">
        <f t="shared" si="1"/>
        <v>5</v>
      </c>
      <c r="I43" s="6" t="s">
        <v>0</v>
      </c>
      <c r="J43" s="6" t="s">
        <v>0</v>
      </c>
      <c r="K43" s="6" t="s">
        <v>0</v>
      </c>
      <c r="L43" s="6" t="s">
        <v>0</v>
      </c>
      <c r="M43" s="6" t="s">
        <v>0</v>
      </c>
      <c r="N43" s="6" t="s">
        <v>0</v>
      </c>
      <c r="O43" s="6" t="s">
        <v>22</v>
      </c>
      <c r="P43" s="6" t="s">
        <v>22</v>
      </c>
      <c r="Q43" s="6" t="s">
        <v>22</v>
      </c>
      <c r="R43" s="6" t="s">
        <v>15</v>
      </c>
      <c r="S43" s="6" t="s">
        <v>0</v>
      </c>
      <c r="T43" s="6" t="s">
        <v>0</v>
      </c>
      <c r="U43" s="6" t="s">
        <v>0</v>
      </c>
      <c r="V43" s="6" t="s">
        <v>0</v>
      </c>
      <c r="W43" s="6" t="s">
        <v>0</v>
      </c>
      <c r="X43" s="6" t="s">
        <v>0</v>
      </c>
      <c r="Y43" s="7" t="s">
        <v>0</v>
      </c>
      <c r="Z43" s="6" t="s">
        <v>0</v>
      </c>
      <c r="AA43" s="6" t="s">
        <v>0</v>
      </c>
      <c r="AB43" s="18" t="s">
        <v>0</v>
      </c>
      <c r="AC43" s="18" t="s">
        <v>0</v>
      </c>
      <c r="AD43" s="18" t="s">
        <v>0</v>
      </c>
      <c r="AE43" s="18" t="s">
        <v>16</v>
      </c>
      <c r="AF43" s="18" t="s">
        <v>16</v>
      </c>
      <c r="AG43" s="18" t="s">
        <v>16</v>
      </c>
      <c r="AH43" s="18" t="s">
        <v>16</v>
      </c>
      <c r="AI43" s="18" t="s">
        <v>16</v>
      </c>
      <c r="AJ43" s="18" t="s">
        <v>16</v>
      </c>
      <c r="AK43" s="18" t="s">
        <v>16</v>
      </c>
      <c r="AL43" s="18" t="s">
        <v>16</v>
      </c>
      <c r="AM43" s="17"/>
    </row>
    <row r="44" spans="2:39" ht="21">
      <c r="B44" s="4">
        <v>1706261</v>
      </c>
      <c r="C44" s="19" t="s">
        <v>72</v>
      </c>
      <c r="D44" s="5" t="s">
        <v>114</v>
      </c>
      <c r="E44" s="5" t="s">
        <v>25</v>
      </c>
      <c r="F44" s="5" t="s">
        <v>42</v>
      </c>
      <c r="G44" s="5" t="s">
        <v>14</v>
      </c>
      <c r="H44" s="5">
        <f t="shared" si="1"/>
        <v>4</v>
      </c>
      <c r="I44" s="6" t="s">
        <v>0</v>
      </c>
      <c r="J44" s="6" t="s">
        <v>0</v>
      </c>
      <c r="K44" s="6" t="s">
        <v>0</v>
      </c>
      <c r="L44" s="6" t="s">
        <v>0</v>
      </c>
      <c r="M44" s="6" t="s">
        <v>0</v>
      </c>
      <c r="N44" s="6" t="s">
        <v>0</v>
      </c>
      <c r="O44" s="6" t="s">
        <v>0</v>
      </c>
      <c r="P44" s="6" t="s">
        <v>0</v>
      </c>
      <c r="Q44" s="6" t="s">
        <v>0</v>
      </c>
      <c r="R44" s="6" t="s">
        <v>0</v>
      </c>
      <c r="S44" s="6" t="s">
        <v>15</v>
      </c>
      <c r="T44" s="6" t="s">
        <v>0</v>
      </c>
      <c r="U44" s="6" t="s">
        <v>0</v>
      </c>
      <c r="V44" s="6" t="s">
        <v>0</v>
      </c>
      <c r="W44" s="6" t="s">
        <v>0</v>
      </c>
      <c r="X44" s="6" t="s">
        <v>0</v>
      </c>
      <c r="Y44" s="7" t="s">
        <v>0</v>
      </c>
      <c r="Z44" s="6" t="s">
        <v>0</v>
      </c>
      <c r="AA44" s="6" t="s">
        <v>0</v>
      </c>
      <c r="AB44" s="6" t="s">
        <v>0</v>
      </c>
      <c r="AC44" s="6" t="s">
        <v>0</v>
      </c>
      <c r="AD44" s="6" t="s">
        <v>0</v>
      </c>
      <c r="AE44" s="6" t="s">
        <v>0</v>
      </c>
      <c r="AF44" s="6" t="s">
        <v>0</v>
      </c>
      <c r="AG44" s="6" t="s">
        <v>15</v>
      </c>
      <c r="AH44" s="6" t="s">
        <v>16</v>
      </c>
      <c r="AI44" s="6" t="s">
        <v>16</v>
      </c>
      <c r="AJ44" s="6" t="s">
        <v>16</v>
      </c>
      <c r="AK44" s="6" t="s">
        <v>16</v>
      </c>
      <c r="AL44" s="6" t="s">
        <v>16</v>
      </c>
      <c r="AM44" s="8"/>
    </row>
    <row r="45" spans="2:39" ht="21">
      <c r="B45" s="4">
        <v>2107261</v>
      </c>
      <c r="C45" s="12" t="s">
        <v>73</v>
      </c>
      <c r="D45" s="5" t="s">
        <v>111</v>
      </c>
      <c r="E45" s="5" t="s">
        <v>23</v>
      </c>
      <c r="F45" s="5" t="s">
        <v>54</v>
      </c>
      <c r="G45" s="5" t="s">
        <v>14</v>
      </c>
      <c r="H45" s="5">
        <f t="shared" si="1"/>
        <v>3</v>
      </c>
      <c r="I45" s="6" t="s">
        <v>0</v>
      </c>
      <c r="J45" s="6" t="s">
        <v>0</v>
      </c>
      <c r="K45" s="6" t="s">
        <v>0</v>
      </c>
      <c r="L45" s="6" t="s">
        <v>0</v>
      </c>
      <c r="M45" s="6" t="s">
        <v>0</v>
      </c>
      <c r="N45" s="6" t="s">
        <v>0</v>
      </c>
      <c r="O45" s="6" t="s">
        <v>0</v>
      </c>
      <c r="P45" s="6" t="s">
        <v>0</v>
      </c>
      <c r="Q45" s="6" t="s">
        <v>0</v>
      </c>
      <c r="R45" s="6" t="s">
        <v>0</v>
      </c>
      <c r="S45" s="6" t="s">
        <v>0</v>
      </c>
      <c r="T45" s="6" t="s">
        <v>15</v>
      </c>
      <c r="U45" s="6" t="s">
        <v>0</v>
      </c>
      <c r="V45" s="6" t="s">
        <v>16</v>
      </c>
      <c r="W45" s="6" t="s">
        <v>16</v>
      </c>
      <c r="X45" s="6" t="s">
        <v>16</v>
      </c>
      <c r="Y45" s="6" t="s">
        <v>16</v>
      </c>
      <c r="Z45" s="6" t="s">
        <v>16</v>
      </c>
      <c r="AA45" s="6" t="s">
        <v>16</v>
      </c>
      <c r="AB45" s="6" t="s">
        <v>16</v>
      </c>
      <c r="AC45" s="6" t="s">
        <v>16</v>
      </c>
      <c r="AD45" s="6" t="s">
        <v>16</v>
      </c>
      <c r="AE45" s="6" t="s">
        <v>16</v>
      </c>
      <c r="AF45" s="6" t="s">
        <v>16</v>
      </c>
      <c r="AG45" s="6" t="s">
        <v>16</v>
      </c>
      <c r="AH45" s="6" t="s">
        <v>16</v>
      </c>
      <c r="AI45" s="6" t="s">
        <v>16</v>
      </c>
      <c r="AJ45" s="6" t="s">
        <v>0</v>
      </c>
      <c r="AK45" s="6" t="s">
        <v>0</v>
      </c>
      <c r="AL45" s="6" t="s">
        <v>0</v>
      </c>
      <c r="AM45" s="17"/>
    </row>
    <row r="46" spans="2:39" ht="21">
      <c r="B46" s="4">
        <v>2307261</v>
      </c>
      <c r="C46" s="12" t="s">
        <v>74</v>
      </c>
      <c r="D46" s="5" t="s">
        <v>109</v>
      </c>
      <c r="E46" s="5" t="s">
        <v>12</v>
      </c>
      <c r="F46" s="5" t="s">
        <v>13</v>
      </c>
      <c r="G46" s="5" t="s">
        <v>59</v>
      </c>
      <c r="H46" s="5">
        <f t="shared" si="1"/>
        <v>14</v>
      </c>
      <c r="I46" s="18" t="s">
        <v>15</v>
      </c>
      <c r="J46" s="18" t="s">
        <v>0</v>
      </c>
      <c r="K46" s="18" t="s">
        <v>0</v>
      </c>
      <c r="L46" s="18" t="s">
        <v>0</v>
      </c>
      <c r="M46" s="18" t="s">
        <v>0</v>
      </c>
      <c r="N46" s="18" t="s">
        <v>0</v>
      </c>
      <c r="O46" s="18" t="s">
        <v>0</v>
      </c>
      <c r="P46" s="18" t="s">
        <v>0</v>
      </c>
      <c r="Q46" s="18" t="s">
        <v>0</v>
      </c>
      <c r="R46" s="18" t="s">
        <v>22</v>
      </c>
      <c r="S46" s="20" t="s">
        <v>22</v>
      </c>
      <c r="T46" s="20" t="s">
        <v>22</v>
      </c>
      <c r="U46" s="20" t="s">
        <v>22</v>
      </c>
      <c r="V46" s="20" t="s">
        <v>22</v>
      </c>
      <c r="W46" s="21" t="s">
        <v>15</v>
      </c>
      <c r="X46" s="21" t="s">
        <v>0</v>
      </c>
      <c r="Y46" s="7" t="s">
        <v>0</v>
      </c>
      <c r="Z46" s="21" t="s">
        <v>0</v>
      </c>
      <c r="AA46" s="21" t="s">
        <v>0</v>
      </c>
      <c r="AB46" s="21" t="s">
        <v>0</v>
      </c>
      <c r="AC46" s="21" t="s">
        <v>0</v>
      </c>
      <c r="AD46" s="21" t="s">
        <v>0</v>
      </c>
      <c r="AE46" s="21" t="s">
        <v>0</v>
      </c>
      <c r="AF46" s="6" t="s">
        <v>0</v>
      </c>
      <c r="AG46" s="21" t="s">
        <v>22</v>
      </c>
      <c r="AH46" s="21" t="s">
        <v>22</v>
      </c>
      <c r="AI46" s="18" t="s">
        <v>15</v>
      </c>
      <c r="AJ46" s="21" t="s">
        <v>0</v>
      </c>
      <c r="AK46" s="21" t="s">
        <v>0</v>
      </c>
      <c r="AL46" s="21" t="s">
        <v>0</v>
      </c>
      <c r="AM46" s="22"/>
    </row>
    <row r="47" spans="2:39" ht="21">
      <c r="B47" s="4">
        <v>1508264</v>
      </c>
      <c r="C47" s="12" t="s">
        <v>75</v>
      </c>
      <c r="D47" s="5" t="s">
        <v>112</v>
      </c>
      <c r="E47" s="5" t="s">
        <v>23</v>
      </c>
      <c r="F47" s="5" t="s">
        <v>46</v>
      </c>
      <c r="G47" s="5" t="s">
        <v>14</v>
      </c>
      <c r="H47" s="5">
        <f t="shared" si="1"/>
        <v>3</v>
      </c>
      <c r="I47" s="18" t="s">
        <v>0</v>
      </c>
      <c r="J47" s="18" t="s">
        <v>0</v>
      </c>
      <c r="K47" s="6" t="s">
        <v>27</v>
      </c>
      <c r="L47" s="18" t="s">
        <v>0</v>
      </c>
      <c r="M47" s="18" t="s">
        <v>0</v>
      </c>
      <c r="N47" s="18" t="s">
        <v>0</v>
      </c>
      <c r="O47" s="18" t="s">
        <v>0</v>
      </c>
      <c r="P47" s="18" t="s">
        <v>22</v>
      </c>
      <c r="Q47" s="18" t="s">
        <v>22</v>
      </c>
      <c r="R47" s="18" t="s">
        <v>22</v>
      </c>
      <c r="S47" s="105" t="s">
        <v>22</v>
      </c>
      <c r="T47" s="105" t="s">
        <v>15</v>
      </c>
      <c r="U47" s="18" t="s">
        <v>0</v>
      </c>
      <c r="V47" s="21" t="s">
        <v>0</v>
      </c>
      <c r="W47" s="21" t="s">
        <v>0</v>
      </c>
      <c r="X47" s="21" t="s">
        <v>0</v>
      </c>
      <c r="Y47" s="7" t="s">
        <v>0</v>
      </c>
      <c r="Z47" s="21" t="s">
        <v>0</v>
      </c>
      <c r="AA47" s="21" t="s">
        <v>0</v>
      </c>
      <c r="AB47" s="21" t="s">
        <v>0</v>
      </c>
      <c r="AC47" s="21" t="s">
        <v>0</v>
      </c>
      <c r="AD47" s="21" t="s">
        <v>22</v>
      </c>
      <c r="AE47" s="21" t="s">
        <v>22</v>
      </c>
      <c r="AF47" s="21" t="s">
        <v>22</v>
      </c>
      <c r="AG47" s="21" t="s">
        <v>22</v>
      </c>
      <c r="AH47" s="21" t="s">
        <v>15</v>
      </c>
      <c r="AI47" s="21" t="s">
        <v>0</v>
      </c>
      <c r="AJ47" s="21" t="s">
        <v>0</v>
      </c>
      <c r="AK47" s="21" t="s">
        <v>0</v>
      </c>
      <c r="AL47" s="21" t="s">
        <v>0</v>
      </c>
      <c r="AM47" s="22"/>
    </row>
    <row r="48" spans="2:39" ht="21">
      <c r="B48" s="4">
        <v>1508261</v>
      </c>
      <c r="C48" s="12" t="s">
        <v>76</v>
      </c>
      <c r="D48" s="5" t="s">
        <v>114</v>
      </c>
      <c r="E48" s="5" t="s">
        <v>12</v>
      </c>
      <c r="F48" s="5" t="s">
        <v>13</v>
      </c>
      <c r="G48" s="5" t="s">
        <v>14</v>
      </c>
      <c r="H48" s="5">
        <f t="shared" si="1"/>
        <v>12</v>
      </c>
      <c r="I48" s="18" t="s">
        <v>22</v>
      </c>
      <c r="J48" s="18" t="s">
        <v>22</v>
      </c>
      <c r="K48" s="18" t="s">
        <v>15</v>
      </c>
      <c r="L48" s="18" t="s">
        <v>0</v>
      </c>
      <c r="M48" s="18" t="s">
        <v>0</v>
      </c>
      <c r="N48" s="18" t="s">
        <v>0</v>
      </c>
      <c r="O48" s="18" t="s">
        <v>0</v>
      </c>
      <c r="P48" s="18" t="s">
        <v>0</v>
      </c>
      <c r="Q48" s="18" t="s">
        <v>0</v>
      </c>
      <c r="R48" s="18" t="s">
        <v>22</v>
      </c>
      <c r="S48" s="105" t="s">
        <v>22</v>
      </c>
      <c r="T48" s="105" t="s">
        <v>22</v>
      </c>
      <c r="U48" s="18" t="s">
        <v>22</v>
      </c>
      <c r="V48" s="21" t="s">
        <v>22</v>
      </c>
      <c r="W48" s="21" t="s">
        <v>22</v>
      </c>
      <c r="X48" s="21" t="s">
        <v>22</v>
      </c>
      <c r="Y48" s="7" t="s">
        <v>15</v>
      </c>
      <c r="Z48" s="21" t="s">
        <v>0</v>
      </c>
      <c r="AA48" s="21" t="s">
        <v>0</v>
      </c>
      <c r="AB48" s="18" t="s">
        <v>0</v>
      </c>
      <c r="AC48" s="21" t="s">
        <v>0</v>
      </c>
      <c r="AD48" s="21" t="s">
        <v>22</v>
      </c>
      <c r="AE48" s="21" t="s">
        <v>22</v>
      </c>
      <c r="AF48" s="21" t="s">
        <v>22</v>
      </c>
      <c r="AG48" s="21" t="s">
        <v>22</v>
      </c>
      <c r="AH48" s="21" t="s">
        <v>22</v>
      </c>
      <c r="AI48" s="21" t="s">
        <v>22</v>
      </c>
      <c r="AJ48" s="21" t="s">
        <v>22</v>
      </c>
      <c r="AK48" s="21" t="s">
        <v>22</v>
      </c>
      <c r="AL48" s="21" t="s">
        <v>22</v>
      </c>
      <c r="AM48" s="22"/>
    </row>
    <row r="49" spans="2:39" ht="21">
      <c r="B49" s="4">
        <v>1508262</v>
      </c>
      <c r="C49" s="12" t="s">
        <v>77</v>
      </c>
      <c r="D49" s="5" t="s">
        <v>114</v>
      </c>
      <c r="E49" s="5" t="s">
        <v>12</v>
      </c>
      <c r="F49" s="5" t="s">
        <v>13</v>
      </c>
      <c r="G49" s="5" t="s">
        <v>14</v>
      </c>
      <c r="H49" s="5">
        <f t="shared" si="1"/>
        <v>8</v>
      </c>
      <c r="I49" s="18" t="s">
        <v>0</v>
      </c>
      <c r="J49" s="18" t="s">
        <v>0</v>
      </c>
      <c r="K49" s="18" t="s">
        <v>22</v>
      </c>
      <c r="L49" s="18" t="s">
        <v>22</v>
      </c>
      <c r="M49" s="18" t="s">
        <v>22</v>
      </c>
      <c r="N49" s="18" t="s">
        <v>22</v>
      </c>
      <c r="O49" s="18" t="s">
        <v>15</v>
      </c>
      <c r="P49" s="18" t="s">
        <v>0</v>
      </c>
      <c r="Q49" s="18" t="s">
        <v>0</v>
      </c>
      <c r="R49" s="18" t="s">
        <v>0</v>
      </c>
      <c r="S49" s="105" t="s">
        <v>0</v>
      </c>
      <c r="T49" s="105" t="s">
        <v>0</v>
      </c>
      <c r="U49" s="18" t="s">
        <v>0</v>
      </c>
      <c r="V49" s="21" t="s">
        <v>0</v>
      </c>
      <c r="W49" s="21" t="s">
        <v>0</v>
      </c>
      <c r="X49" s="21" t="s">
        <v>0</v>
      </c>
      <c r="Y49" s="7" t="s">
        <v>22</v>
      </c>
      <c r="Z49" s="21" t="s">
        <v>22</v>
      </c>
      <c r="AA49" s="21" t="s">
        <v>22</v>
      </c>
      <c r="AB49" s="21" t="s">
        <v>22</v>
      </c>
      <c r="AC49" s="21" t="s">
        <v>15</v>
      </c>
      <c r="AD49" s="21" t="s">
        <v>0</v>
      </c>
      <c r="AE49" s="21" t="s">
        <v>0</v>
      </c>
      <c r="AF49" s="18" t="s">
        <v>0</v>
      </c>
      <c r="AG49" s="21" t="s">
        <v>0</v>
      </c>
      <c r="AH49" s="21" t="s">
        <v>0</v>
      </c>
      <c r="AI49" s="21" t="s">
        <v>0</v>
      </c>
      <c r="AJ49" s="21" t="s">
        <v>0</v>
      </c>
      <c r="AK49" s="21" t="s">
        <v>0</v>
      </c>
      <c r="AL49" s="21" t="s">
        <v>16</v>
      </c>
      <c r="AM49" s="22"/>
    </row>
    <row r="50" spans="2:39" ht="21">
      <c r="B50" s="4">
        <v>1508263</v>
      </c>
      <c r="C50" s="12" t="s">
        <v>78</v>
      </c>
      <c r="D50" s="5" t="s">
        <v>114</v>
      </c>
      <c r="E50" s="5" t="s">
        <v>12</v>
      </c>
      <c r="F50" s="5" t="s">
        <v>13</v>
      </c>
      <c r="G50" s="5" t="s">
        <v>14</v>
      </c>
      <c r="H50" s="5">
        <f t="shared" si="1"/>
        <v>5</v>
      </c>
      <c r="I50" s="18" t="s">
        <v>0</v>
      </c>
      <c r="J50" s="18" t="s">
        <v>0</v>
      </c>
      <c r="K50" s="18" t="s">
        <v>0</v>
      </c>
      <c r="L50" s="18" t="s">
        <v>0</v>
      </c>
      <c r="M50" s="18" t="s">
        <v>0</v>
      </c>
      <c r="N50" s="18" t="s">
        <v>0</v>
      </c>
      <c r="O50" s="18" t="s">
        <v>22</v>
      </c>
      <c r="P50" s="18" t="s">
        <v>22</v>
      </c>
      <c r="Q50" s="18" t="s">
        <v>22</v>
      </c>
      <c r="R50" s="18" t="s">
        <v>15</v>
      </c>
      <c r="S50" s="105" t="s">
        <v>0</v>
      </c>
      <c r="T50" s="7" t="s">
        <v>16</v>
      </c>
      <c r="U50" s="7" t="s">
        <v>16</v>
      </c>
      <c r="V50" s="7" t="s">
        <v>16</v>
      </c>
      <c r="W50" s="7" t="s">
        <v>16</v>
      </c>
      <c r="X50" s="7" t="s">
        <v>16</v>
      </c>
      <c r="Y50" s="7" t="s">
        <v>16</v>
      </c>
      <c r="Z50" s="7" t="s">
        <v>16</v>
      </c>
      <c r="AA50" s="7" t="s">
        <v>16</v>
      </c>
      <c r="AB50" s="7" t="s">
        <v>16</v>
      </c>
      <c r="AC50" s="7" t="s">
        <v>16</v>
      </c>
      <c r="AD50" s="7" t="s">
        <v>16</v>
      </c>
      <c r="AE50" s="7" t="s">
        <v>16</v>
      </c>
      <c r="AF50" s="6" t="s">
        <v>16</v>
      </c>
      <c r="AG50" s="6" t="s">
        <v>16</v>
      </c>
      <c r="AH50" s="6" t="s">
        <v>16</v>
      </c>
      <c r="AI50" s="6" t="s">
        <v>16</v>
      </c>
      <c r="AJ50" s="6" t="s">
        <v>16</v>
      </c>
      <c r="AK50" s="6" t="s">
        <v>16</v>
      </c>
      <c r="AL50" s="6" t="s">
        <v>16</v>
      </c>
      <c r="AM50" s="22"/>
    </row>
    <row r="51" spans="2:39">
      <c r="B51" s="23"/>
      <c r="C51" s="23"/>
      <c r="D51" s="23"/>
      <c r="E51" s="23"/>
      <c r="F51" s="23"/>
      <c r="G51" s="23"/>
      <c r="H51" s="23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spans="2:39">
      <c r="B52" s="25" t="s">
        <v>79</v>
      </c>
      <c r="C52" s="25"/>
      <c r="D52" s="25"/>
      <c r="E52" s="25"/>
      <c r="F52" s="25"/>
      <c r="G52" s="25"/>
      <c r="H52" s="25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</row>
    <row r="53" spans="2:39">
      <c r="B53" s="27" t="s">
        <v>80</v>
      </c>
      <c r="C53" s="28"/>
      <c r="D53" s="28"/>
      <c r="E53" s="28"/>
      <c r="F53" s="28"/>
      <c r="G53" s="28"/>
      <c r="H53" s="28"/>
      <c r="I53" s="29">
        <v>45839</v>
      </c>
      <c r="J53" s="29">
        <f>I53+1</f>
        <v>45840</v>
      </c>
      <c r="K53" s="29">
        <f t="shared" ref="K53:AI53" si="4">J53+1</f>
        <v>45841</v>
      </c>
      <c r="L53" s="29">
        <f t="shared" si="4"/>
        <v>45842</v>
      </c>
      <c r="M53" s="29">
        <f t="shared" si="4"/>
        <v>45843</v>
      </c>
      <c r="N53" s="29">
        <f t="shared" si="4"/>
        <v>45844</v>
      </c>
      <c r="O53" s="29">
        <f t="shared" si="4"/>
        <v>45845</v>
      </c>
      <c r="P53" s="29">
        <f t="shared" si="4"/>
        <v>45846</v>
      </c>
      <c r="Q53" s="29">
        <f t="shared" si="4"/>
        <v>45847</v>
      </c>
      <c r="R53" s="29">
        <f t="shared" si="4"/>
        <v>45848</v>
      </c>
      <c r="S53" s="29">
        <f t="shared" si="4"/>
        <v>45849</v>
      </c>
      <c r="T53" s="29">
        <f t="shared" si="4"/>
        <v>45850</v>
      </c>
      <c r="U53" s="29">
        <f t="shared" si="4"/>
        <v>45851</v>
      </c>
      <c r="V53" s="29">
        <f t="shared" si="4"/>
        <v>45852</v>
      </c>
      <c r="W53" s="29">
        <f t="shared" si="4"/>
        <v>45853</v>
      </c>
      <c r="X53" s="29">
        <f t="shared" si="4"/>
        <v>45854</v>
      </c>
      <c r="Y53" s="29">
        <f t="shared" si="4"/>
        <v>45855</v>
      </c>
      <c r="Z53" s="29">
        <f t="shared" si="4"/>
        <v>45856</v>
      </c>
      <c r="AA53" s="29">
        <f t="shared" si="4"/>
        <v>45857</v>
      </c>
      <c r="AB53" s="29">
        <f t="shared" si="4"/>
        <v>45858</v>
      </c>
      <c r="AC53" s="29">
        <f t="shared" si="4"/>
        <v>45859</v>
      </c>
      <c r="AD53" s="29">
        <f t="shared" si="4"/>
        <v>45860</v>
      </c>
      <c r="AE53" s="29">
        <f t="shared" si="4"/>
        <v>45861</v>
      </c>
      <c r="AF53" s="29">
        <f t="shared" si="4"/>
        <v>45862</v>
      </c>
      <c r="AG53" s="29">
        <f t="shared" si="4"/>
        <v>45863</v>
      </c>
      <c r="AH53" s="29">
        <f t="shared" si="4"/>
        <v>45864</v>
      </c>
      <c r="AI53" s="29">
        <f t="shared" si="4"/>
        <v>45865</v>
      </c>
    </row>
    <row r="54" spans="2:39">
      <c r="B54" s="30"/>
      <c r="C54" s="30"/>
      <c r="D54" s="30"/>
      <c r="E54" s="30"/>
      <c r="F54" s="30"/>
      <c r="G54" s="30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</row>
    <row r="55" spans="2:39">
      <c r="B55" s="33"/>
      <c r="C55" s="34"/>
      <c r="D55" s="34"/>
      <c r="E55" s="34"/>
      <c r="F55" s="34"/>
      <c r="G55" s="34"/>
      <c r="H55" s="34"/>
      <c r="I55" s="35" t="str">
        <f>IFERROR(VLOOKUP(I2,#REF!,2,0),"")</f>
        <v/>
      </c>
      <c r="J55" s="35" t="str">
        <f>IFERROR(VLOOKUP(J2,#REF!,2,0),"")</f>
        <v/>
      </c>
      <c r="K55" s="35" t="str">
        <f>IFERROR(VLOOKUP(K2,#REF!,2,0),"")</f>
        <v/>
      </c>
      <c r="L55" s="35" t="str">
        <f>IFERROR(VLOOKUP(L2,#REF!,2,0),"")</f>
        <v/>
      </c>
      <c r="M55" s="35" t="str">
        <f>IFERROR(VLOOKUP(M2,#REF!,2,0),"")</f>
        <v/>
      </c>
      <c r="N55" s="35" t="str">
        <f>IFERROR(VLOOKUP(N2,#REF!,2,0),"")</f>
        <v/>
      </c>
      <c r="O55" s="35" t="str">
        <f>IFERROR(VLOOKUP(O2,#REF!,2,0),"")</f>
        <v/>
      </c>
      <c r="P55" s="35" t="str">
        <f>IFERROR(VLOOKUP(P2,#REF!,2,0),"")</f>
        <v/>
      </c>
      <c r="Q55" s="35" t="str">
        <f>IFERROR(VLOOKUP(Q2,#REF!,2,0),"")</f>
        <v/>
      </c>
      <c r="R55" s="35" t="str">
        <f>IFERROR(VLOOKUP(R2,#REF!,2,0),"")</f>
        <v/>
      </c>
      <c r="S55" s="35" t="str">
        <f>IFERROR(VLOOKUP(S2,#REF!,2,0),"")</f>
        <v/>
      </c>
      <c r="T55" s="35" t="str">
        <f>IFERROR(VLOOKUP(T2,#REF!,2,0),"")</f>
        <v/>
      </c>
      <c r="U55" s="35" t="str">
        <f>IFERROR(VLOOKUP(U2,#REF!,2,0),"")</f>
        <v/>
      </c>
      <c r="V55" s="35" t="str">
        <f>IFERROR(VLOOKUP(V2,#REF!,2,0),"")</f>
        <v/>
      </c>
      <c r="W55" s="35" t="str">
        <f>IFERROR(VLOOKUP(W2,#REF!,2,0),"")</f>
        <v/>
      </c>
      <c r="X55" s="35" t="str">
        <f>IFERROR(VLOOKUP(X2,#REF!,2,0),"")</f>
        <v/>
      </c>
      <c r="Y55" s="35" t="str">
        <f>IFERROR(VLOOKUP(Y2,#REF!,2,0),"")</f>
        <v/>
      </c>
      <c r="Z55" s="35" t="str">
        <f>IFERROR(VLOOKUP(Z2,#REF!,2,0),"")</f>
        <v/>
      </c>
      <c r="AA55" s="35"/>
      <c r="AB55" s="35"/>
      <c r="AC55" s="35"/>
      <c r="AD55" s="35"/>
      <c r="AE55" s="35"/>
      <c r="AF55" s="35"/>
      <c r="AG55" s="35" t="str">
        <f>IFERROR(VLOOKUP(AG2,#REF!,2,0),"")</f>
        <v/>
      </c>
      <c r="AH55" s="35"/>
      <c r="AI55" s="35" t="str">
        <f>IFERROR(VLOOKUP(AI2,#REF!,2,0),"")</f>
        <v/>
      </c>
    </row>
    <row r="56" spans="2:39">
      <c r="B56" s="33"/>
      <c r="C56" s="36"/>
      <c r="D56" s="36"/>
      <c r="E56" s="36"/>
      <c r="F56" s="36"/>
      <c r="G56" s="36"/>
      <c r="H56" s="36"/>
      <c r="I56" s="37" t="str">
        <f>IFERROR(VLOOKUP(I3,#REF!,2,0),"")</f>
        <v/>
      </c>
      <c r="J56" s="38" t="str">
        <f>IFERROR(VLOOKUP(J3,#REF!,2,0),"")</f>
        <v/>
      </c>
      <c r="K56" s="38" t="str">
        <f>IFERROR(VLOOKUP(K3,#REF!,2,0),"")</f>
        <v/>
      </c>
      <c r="L56" s="38" t="str">
        <f>IFERROR(VLOOKUP(L3,#REF!,2,0),"")</f>
        <v/>
      </c>
      <c r="M56" s="38" t="str">
        <f>IFERROR(VLOOKUP(M3,#REF!,2,0),"")</f>
        <v/>
      </c>
      <c r="N56" s="38" t="str">
        <f>IFERROR(VLOOKUP(N3,#REF!,2,0),"")</f>
        <v/>
      </c>
      <c r="O56" s="38" t="str">
        <f>IFERROR(VLOOKUP(O3,#REF!,2,0),"")</f>
        <v/>
      </c>
      <c r="P56" s="38" t="str">
        <f>IFERROR(VLOOKUP(P3,#REF!,2,0),"")</f>
        <v/>
      </c>
      <c r="Q56" s="38" t="str">
        <f>IFERROR(VLOOKUP(Q3,#REF!,2,0),"")</f>
        <v/>
      </c>
      <c r="R56" s="38" t="str">
        <f>IFERROR(VLOOKUP(R3,#REF!,2,0),"")</f>
        <v/>
      </c>
      <c r="S56" s="38" t="str">
        <f>IFERROR(VLOOKUP(S3,#REF!,2,0),"")</f>
        <v/>
      </c>
      <c r="T56" s="38" t="str">
        <f>IFERROR(VLOOKUP(T3,#REF!,2,0),"")</f>
        <v/>
      </c>
      <c r="U56" s="38" t="str">
        <f>IFERROR(VLOOKUP(U3,#REF!,2,0),"")</f>
        <v/>
      </c>
      <c r="V56" s="38" t="str">
        <f>IFERROR(VLOOKUP(V3,#REF!,2,0),"")</f>
        <v/>
      </c>
      <c r="W56" s="38" t="str">
        <f>IFERROR(VLOOKUP(W3,#REF!,2,0),"")</f>
        <v/>
      </c>
      <c r="X56" s="38" t="str">
        <f>IFERROR(VLOOKUP(X3,#REF!,2,0),"")</f>
        <v/>
      </c>
      <c r="Y56" s="38" t="str">
        <f>IFERROR(VLOOKUP(Y3,#REF!,2,0),"")</f>
        <v/>
      </c>
      <c r="Z56" s="38" t="str">
        <f>IFERROR(VLOOKUP(Z3,#REF!,2,0),"")</f>
        <v/>
      </c>
      <c r="AA56" s="38"/>
      <c r="AB56" s="38"/>
      <c r="AC56" s="38"/>
      <c r="AD56" s="38"/>
      <c r="AE56" s="38"/>
      <c r="AF56" s="38"/>
      <c r="AG56" s="38" t="str">
        <f>IFERROR(VLOOKUP(AG3,#REF!,2,0),"")</f>
        <v/>
      </c>
      <c r="AH56" s="38"/>
      <c r="AI56" s="38" t="str">
        <f>IFERROR(VLOOKUP(AI3,#REF!,2,0),"")</f>
        <v/>
      </c>
    </row>
    <row r="57" spans="2:39">
      <c r="B57" s="33"/>
      <c r="C57" s="39"/>
      <c r="D57" s="39"/>
      <c r="E57" s="39"/>
      <c r="F57" s="39"/>
      <c r="G57" s="39"/>
      <c r="H57" s="39"/>
      <c r="I57" s="37" t="str">
        <f>IFERROR(VLOOKUP(#REF!,#REF!,2,0),"")</f>
        <v/>
      </c>
      <c r="J57" s="38" t="str">
        <f>IFERROR(VLOOKUP(#REF!,#REF!,2,0),"")</f>
        <v/>
      </c>
      <c r="K57" s="38" t="str">
        <f>IFERROR(VLOOKUP(#REF!,#REF!,2,0),"")</f>
        <v/>
      </c>
      <c r="L57" s="38" t="str">
        <f>IFERROR(VLOOKUP(#REF!,#REF!,2,0),"")</f>
        <v/>
      </c>
      <c r="M57" s="38" t="str">
        <f>IFERROR(VLOOKUP(#REF!,#REF!,2,0),"")</f>
        <v/>
      </c>
      <c r="N57" s="38" t="str">
        <f>IFERROR(VLOOKUP(#REF!,#REF!,2,0),"")</f>
        <v/>
      </c>
      <c r="O57" s="38" t="str">
        <f>IFERROR(VLOOKUP(#REF!,#REF!,2,0),"")</f>
        <v/>
      </c>
      <c r="P57" s="38" t="str">
        <f>IFERROR(VLOOKUP(#REF!,#REF!,2,0),"")</f>
        <v/>
      </c>
      <c r="Q57" s="38" t="str">
        <f>IFERROR(VLOOKUP(#REF!,#REF!,2,0),"")</f>
        <v/>
      </c>
      <c r="R57" s="38" t="str">
        <f>IFERROR(VLOOKUP(#REF!,#REF!,2,0),"")</f>
        <v/>
      </c>
      <c r="S57" s="38" t="str">
        <f>IFERROR(VLOOKUP(#REF!,#REF!,2,0),"")</f>
        <v/>
      </c>
      <c r="T57" s="38" t="str">
        <f>IFERROR(VLOOKUP(#REF!,#REF!,2,0),"")</f>
        <v/>
      </c>
      <c r="U57" s="38" t="str">
        <f>IFERROR(VLOOKUP(#REF!,#REF!,2,0),"")</f>
        <v/>
      </c>
      <c r="V57" s="38" t="str">
        <f>IFERROR(VLOOKUP(#REF!,#REF!,2,0),"")</f>
        <v/>
      </c>
      <c r="W57" s="38" t="str">
        <f>IFERROR(VLOOKUP(#REF!,#REF!,2,0),"")</f>
        <v/>
      </c>
      <c r="X57" s="38" t="str">
        <f>IFERROR(VLOOKUP(#REF!,#REF!,2,0),"")</f>
        <v/>
      </c>
      <c r="Y57" s="38" t="str">
        <f>IFERROR(VLOOKUP(#REF!,#REF!,2,0),"")</f>
        <v/>
      </c>
      <c r="Z57" s="38" t="str">
        <f>IFERROR(VLOOKUP(#REF!,#REF!,2,0),"")</f>
        <v/>
      </c>
      <c r="AA57" s="38"/>
      <c r="AB57" s="38"/>
      <c r="AC57" s="38"/>
      <c r="AD57" s="38"/>
      <c r="AE57" s="38"/>
      <c r="AF57" s="38"/>
      <c r="AG57" s="38" t="str">
        <f>IFERROR(VLOOKUP(#REF!,#REF!,2,0),"")</f>
        <v/>
      </c>
      <c r="AH57" s="38"/>
      <c r="AI57" s="38" t="str">
        <f>IFERROR(VLOOKUP(#REF!,#REF!,2,0),"")</f>
        <v/>
      </c>
    </row>
    <row r="58" spans="2:39">
      <c r="B58" s="40"/>
      <c r="C58" s="36"/>
      <c r="D58" s="36"/>
      <c r="E58" s="36"/>
      <c r="F58" s="36"/>
      <c r="G58" s="36"/>
      <c r="H58" s="36"/>
      <c r="I58" s="37" t="str">
        <f>IFERROR(VLOOKUP(I4,#REF!,2,0),"")</f>
        <v/>
      </c>
      <c r="J58" s="38" t="str">
        <f>IFERROR(VLOOKUP(J4,#REF!,2,0),"")</f>
        <v/>
      </c>
      <c r="K58" s="38" t="str">
        <f>IFERROR(VLOOKUP(K4,#REF!,2,0),"")</f>
        <v/>
      </c>
      <c r="L58" s="38" t="str">
        <f>IFERROR(VLOOKUP(L4,#REF!,2,0),"")</f>
        <v/>
      </c>
      <c r="M58" s="38" t="str">
        <f>IFERROR(VLOOKUP(M4,#REF!,2,0),"")</f>
        <v/>
      </c>
      <c r="N58" s="38" t="str">
        <f>IFERROR(VLOOKUP(N4,#REF!,2,0),"")</f>
        <v/>
      </c>
      <c r="O58" s="38" t="str">
        <f>IFERROR(VLOOKUP(O4,#REF!,2,0),"")</f>
        <v/>
      </c>
      <c r="P58" s="38" t="str">
        <f>IFERROR(VLOOKUP(P4,#REF!,2,0),"")</f>
        <v/>
      </c>
      <c r="Q58" s="38" t="str">
        <f>IFERROR(VLOOKUP(Q4,#REF!,2,0),"")</f>
        <v/>
      </c>
      <c r="R58" s="38" t="str">
        <f>IFERROR(VLOOKUP(R4,#REF!,2,0),"")</f>
        <v/>
      </c>
      <c r="S58" s="38" t="str">
        <f>IFERROR(VLOOKUP(S4,#REF!,2,0),"")</f>
        <v/>
      </c>
      <c r="T58" s="38" t="str">
        <f>IFERROR(VLOOKUP(T4,#REF!,2,0),"")</f>
        <v/>
      </c>
      <c r="U58" s="38" t="str">
        <f>IFERROR(VLOOKUP(U4,#REF!,2,0),"")</f>
        <v/>
      </c>
      <c r="V58" s="38" t="str">
        <f>IFERROR(VLOOKUP(V4,#REF!,2,0),"")</f>
        <v/>
      </c>
      <c r="W58" s="38" t="str">
        <f>IFERROR(VLOOKUP(W4,#REF!,2,0),"")</f>
        <v/>
      </c>
      <c r="X58" s="38" t="str">
        <f>IFERROR(VLOOKUP(X4,#REF!,2,0),"")</f>
        <v/>
      </c>
      <c r="Y58" s="38" t="str">
        <f>IFERROR(VLOOKUP(Y4,#REF!,2,0),"")</f>
        <v/>
      </c>
      <c r="Z58" s="38" t="str">
        <f>IFERROR(VLOOKUP(Z4,#REF!,2,0),"")</f>
        <v/>
      </c>
      <c r="AA58" s="38"/>
      <c r="AB58" s="38"/>
      <c r="AC58" s="38"/>
      <c r="AD58" s="38"/>
      <c r="AE58" s="38"/>
      <c r="AF58" s="38"/>
      <c r="AG58" s="38" t="str">
        <f>IFERROR(VLOOKUP(AG4,#REF!,2,0),"")</f>
        <v/>
      </c>
      <c r="AH58" s="38"/>
      <c r="AI58" s="38" t="str">
        <f>IFERROR(VLOOKUP(AI4,#REF!,2,0),"")</f>
        <v/>
      </c>
    </row>
    <row r="59" spans="2:39">
      <c r="B59" s="41"/>
      <c r="C59" s="36"/>
      <c r="D59" s="36"/>
      <c r="E59" s="36"/>
      <c r="F59" s="36"/>
      <c r="G59" s="36"/>
      <c r="H59" s="36"/>
      <c r="I59" s="37" t="str">
        <f>IFERROR(VLOOKUP(I5,#REF!,2,0),"")</f>
        <v/>
      </c>
      <c r="J59" s="38" t="str">
        <f>IFERROR(VLOOKUP(J5,#REF!,2,0),"")</f>
        <v/>
      </c>
      <c r="K59" s="38" t="str">
        <f>IFERROR(VLOOKUP(K5,#REF!,2,0),"")</f>
        <v/>
      </c>
      <c r="L59" s="38" t="str">
        <f>IFERROR(VLOOKUP(L5,#REF!,2,0),"")</f>
        <v/>
      </c>
      <c r="M59" s="38" t="str">
        <f>IFERROR(VLOOKUP(M5,#REF!,2,0),"")</f>
        <v/>
      </c>
      <c r="N59" s="38" t="str">
        <f>IFERROR(VLOOKUP(N5,#REF!,2,0),"")</f>
        <v/>
      </c>
      <c r="O59" s="38" t="str">
        <f>IFERROR(VLOOKUP(O5,#REF!,2,0),"")</f>
        <v/>
      </c>
      <c r="P59" s="38" t="str">
        <f>IFERROR(VLOOKUP(P5,#REF!,2,0),"")</f>
        <v/>
      </c>
      <c r="Q59" s="38" t="str">
        <f>IFERROR(VLOOKUP(Q5,#REF!,2,0),"")</f>
        <v/>
      </c>
      <c r="R59" s="38" t="str">
        <f>IFERROR(VLOOKUP(R5,#REF!,2,0),"")</f>
        <v/>
      </c>
      <c r="S59" s="38" t="str">
        <f>IFERROR(VLOOKUP(S5,#REF!,2,0),"")</f>
        <v/>
      </c>
      <c r="T59" s="38" t="str">
        <f>IFERROR(VLOOKUP(T5,#REF!,2,0),"")</f>
        <v/>
      </c>
      <c r="U59" s="38" t="str">
        <f>IFERROR(VLOOKUP(U5,#REF!,2,0),"")</f>
        <v/>
      </c>
      <c r="V59" s="38" t="str">
        <f>IFERROR(VLOOKUP(V5,#REF!,2,0),"")</f>
        <v/>
      </c>
      <c r="W59" s="38" t="str">
        <f>IFERROR(VLOOKUP(W5,#REF!,2,0),"")</f>
        <v/>
      </c>
      <c r="X59" s="38" t="str">
        <f>IFERROR(VLOOKUP(X5,#REF!,2,0),"")</f>
        <v/>
      </c>
      <c r="Y59" s="38" t="str">
        <f>IFERROR(VLOOKUP(Y5,#REF!,2,0),"")</f>
        <v/>
      </c>
      <c r="Z59" s="38" t="str">
        <f>IFERROR(VLOOKUP(Z5,#REF!,2,0),"")</f>
        <v/>
      </c>
      <c r="AA59" s="38"/>
      <c r="AB59" s="38"/>
      <c r="AC59" s="38"/>
      <c r="AD59" s="38"/>
      <c r="AE59" s="38"/>
      <c r="AF59" s="38"/>
      <c r="AG59" s="38" t="str">
        <f>IFERROR(VLOOKUP(AG5,#REF!,2,0),"")</f>
        <v/>
      </c>
      <c r="AH59" s="38"/>
      <c r="AI59" s="38" t="str">
        <f>IFERROR(VLOOKUP(AI5,#REF!,2,0),"")</f>
        <v/>
      </c>
    </row>
    <row r="60" spans="2:39">
      <c r="B60" s="42"/>
      <c r="C60" s="39"/>
      <c r="D60" s="39"/>
      <c r="E60" s="39"/>
      <c r="F60" s="39"/>
      <c r="G60" s="39"/>
      <c r="H60" s="39"/>
      <c r="I60" s="37" t="str">
        <f>IFERROR(VLOOKUP(I6,#REF!,2,0),"")</f>
        <v/>
      </c>
      <c r="J60" s="38" t="str">
        <f>IFERROR(VLOOKUP(J6,#REF!,2,0),"")</f>
        <v/>
      </c>
      <c r="K60" s="38" t="str">
        <f>IFERROR(VLOOKUP(K6,#REF!,2,0),"")</f>
        <v/>
      </c>
      <c r="L60" s="38" t="str">
        <f>IFERROR(VLOOKUP(L6,#REF!,2,0),"")</f>
        <v/>
      </c>
      <c r="M60" s="38" t="str">
        <f>IFERROR(VLOOKUP(M6,#REF!,2,0),"")</f>
        <v/>
      </c>
      <c r="N60" s="38" t="str">
        <f>IFERROR(VLOOKUP(N6,#REF!,2,0),"")</f>
        <v/>
      </c>
      <c r="O60" s="38" t="str">
        <f>IFERROR(VLOOKUP(O6,#REF!,2,0),"")</f>
        <v/>
      </c>
      <c r="P60" s="38" t="str">
        <f>IFERROR(VLOOKUP(P6,#REF!,2,0),"")</f>
        <v/>
      </c>
      <c r="Q60" s="38" t="str">
        <f>IFERROR(VLOOKUP(Q6,#REF!,2,0),"")</f>
        <v/>
      </c>
      <c r="R60" s="38" t="str">
        <f>IFERROR(VLOOKUP(R6,#REF!,2,0),"")</f>
        <v/>
      </c>
      <c r="S60" s="38" t="str">
        <f>IFERROR(VLOOKUP(S6,#REF!,2,0),"")</f>
        <v/>
      </c>
      <c r="T60" s="38" t="str">
        <f>IFERROR(VLOOKUP(T6,#REF!,2,0),"")</f>
        <v/>
      </c>
      <c r="U60" s="38" t="str">
        <f>IFERROR(VLOOKUP(U6,#REF!,2,0),"")</f>
        <v/>
      </c>
      <c r="V60" s="38" t="str">
        <f>IFERROR(VLOOKUP(V6,#REF!,2,0),"")</f>
        <v/>
      </c>
      <c r="W60" s="38" t="str">
        <f>IFERROR(VLOOKUP(W6,#REF!,2,0),"")</f>
        <v/>
      </c>
      <c r="X60" s="38" t="str">
        <f>IFERROR(VLOOKUP(X6,#REF!,2,0),"")</f>
        <v/>
      </c>
      <c r="Y60" s="38" t="str">
        <f>IFERROR(VLOOKUP(Y6,#REF!,2,0),"")</f>
        <v/>
      </c>
      <c r="Z60" s="38" t="str">
        <f>IFERROR(VLOOKUP(Z6,#REF!,2,0),"")</f>
        <v/>
      </c>
      <c r="AA60" s="38"/>
      <c r="AB60" s="38"/>
      <c r="AC60" s="38"/>
      <c r="AD60" s="38"/>
      <c r="AE60" s="38"/>
      <c r="AF60" s="38"/>
      <c r="AG60" s="38" t="str">
        <f>IFERROR(VLOOKUP(AG6,#REF!,2,0),"")</f>
        <v/>
      </c>
      <c r="AH60" s="38"/>
      <c r="AI60" s="38" t="str">
        <f>IFERROR(VLOOKUP(AI6,#REF!,2,0),"")</f>
        <v/>
      </c>
    </row>
    <row r="61" spans="2:39">
      <c r="B61" s="42"/>
      <c r="C61" s="39"/>
      <c r="D61" s="39"/>
      <c r="E61" s="39"/>
      <c r="F61" s="39"/>
      <c r="G61" s="39"/>
      <c r="H61" s="39"/>
      <c r="I61" s="37" t="str">
        <f>IFERROR(VLOOKUP(#REF!,#REF!,2,0),"")</f>
        <v/>
      </c>
      <c r="J61" s="38" t="str">
        <f>IFERROR(VLOOKUP(#REF!,#REF!,2,0),"")</f>
        <v/>
      </c>
      <c r="K61" s="38" t="str">
        <f>IFERROR(VLOOKUP(#REF!,#REF!,2,0),"")</f>
        <v/>
      </c>
      <c r="L61" s="38" t="str">
        <f>IFERROR(VLOOKUP(#REF!,#REF!,2,0),"")</f>
        <v/>
      </c>
      <c r="M61" s="38" t="str">
        <f>IFERROR(VLOOKUP(#REF!,#REF!,2,0),"")</f>
        <v/>
      </c>
      <c r="N61" s="38" t="str">
        <f>IFERROR(VLOOKUP(#REF!,#REF!,2,0),"")</f>
        <v/>
      </c>
      <c r="O61" s="38" t="str">
        <f>IFERROR(VLOOKUP(#REF!,#REF!,2,0),"")</f>
        <v/>
      </c>
      <c r="P61" s="38" t="str">
        <f>IFERROR(VLOOKUP(#REF!,#REF!,2,0),"")</f>
        <v/>
      </c>
      <c r="Q61" s="38" t="str">
        <f>IFERROR(VLOOKUP(#REF!,#REF!,2,0),"")</f>
        <v/>
      </c>
      <c r="R61" s="38" t="str">
        <f>IFERROR(VLOOKUP(#REF!,#REF!,2,0),"")</f>
        <v/>
      </c>
      <c r="S61" s="38" t="str">
        <f>IFERROR(VLOOKUP(#REF!,#REF!,2,0),"")</f>
        <v/>
      </c>
      <c r="T61" s="38" t="str">
        <f>IFERROR(VLOOKUP(#REF!,#REF!,2,0),"")</f>
        <v/>
      </c>
      <c r="U61" s="38" t="str">
        <f>IFERROR(VLOOKUP(#REF!,#REF!,2,0),"")</f>
        <v/>
      </c>
      <c r="V61" s="38" t="str">
        <f>IFERROR(VLOOKUP(#REF!,#REF!,2,0),"")</f>
        <v/>
      </c>
      <c r="W61" s="38" t="str">
        <f>IFERROR(VLOOKUP(#REF!,#REF!,2,0),"")</f>
        <v/>
      </c>
      <c r="X61" s="38" t="str">
        <f>IFERROR(VLOOKUP(#REF!,#REF!,2,0),"")</f>
        <v/>
      </c>
      <c r="Y61" s="38" t="str">
        <f>IFERROR(VLOOKUP(#REF!,#REF!,2,0),"")</f>
        <v/>
      </c>
      <c r="Z61" s="38" t="str">
        <f>IFERROR(VLOOKUP(#REF!,#REF!,2,0),"")</f>
        <v/>
      </c>
      <c r="AA61" s="38"/>
      <c r="AB61" s="38"/>
      <c r="AC61" s="38"/>
      <c r="AD61" s="38"/>
      <c r="AE61" s="38"/>
      <c r="AF61" s="38"/>
      <c r="AG61" s="38" t="str">
        <f>IFERROR(VLOOKUP(#REF!,#REF!,2,0),"")</f>
        <v/>
      </c>
      <c r="AH61" s="38"/>
      <c r="AI61" s="38" t="str">
        <f>IFERROR(VLOOKUP(#REF!,#REF!,2,0),"")</f>
        <v/>
      </c>
    </row>
    <row r="62" spans="2:39">
      <c r="B62" s="42"/>
      <c r="C62" s="39"/>
      <c r="D62" s="39"/>
      <c r="E62" s="39"/>
      <c r="F62" s="39"/>
      <c r="G62" s="39"/>
      <c r="H62" s="39"/>
      <c r="I62" s="37" t="str">
        <f>IFERROR(VLOOKUP(#REF!,#REF!,2,0),"")</f>
        <v/>
      </c>
      <c r="J62" s="38" t="str">
        <f>IFERROR(VLOOKUP(#REF!,#REF!,2,0),"")</f>
        <v/>
      </c>
      <c r="K62" s="38" t="str">
        <f>IFERROR(VLOOKUP(#REF!,#REF!,2,0),"")</f>
        <v/>
      </c>
      <c r="L62" s="38" t="str">
        <f>IFERROR(VLOOKUP(#REF!,#REF!,2,0),"")</f>
        <v/>
      </c>
      <c r="M62" s="38" t="str">
        <f>IFERROR(VLOOKUP(#REF!,#REF!,2,0),"")</f>
        <v/>
      </c>
      <c r="N62" s="38" t="str">
        <f>IFERROR(VLOOKUP(#REF!,#REF!,2,0),"")</f>
        <v/>
      </c>
      <c r="O62" s="38" t="str">
        <f>IFERROR(VLOOKUP(#REF!,#REF!,2,0),"")</f>
        <v/>
      </c>
      <c r="P62" s="38" t="str">
        <f>IFERROR(VLOOKUP(#REF!,#REF!,2,0),"")</f>
        <v/>
      </c>
      <c r="Q62" s="38" t="str">
        <f>IFERROR(VLOOKUP(#REF!,#REF!,2,0),"")</f>
        <v/>
      </c>
      <c r="R62" s="38" t="str">
        <f>IFERROR(VLOOKUP(#REF!,#REF!,2,0),"")</f>
        <v/>
      </c>
      <c r="S62" s="38" t="str">
        <f>IFERROR(VLOOKUP(#REF!,#REF!,2,0),"")</f>
        <v/>
      </c>
      <c r="T62" s="38" t="str">
        <f>IFERROR(VLOOKUP(#REF!,#REF!,2,0),"")</f>
        <v/>
      </c>
      <c r="U62" s="38" t="str">
        <f>IFERROR(VLOOKUP(#REF!,#REF!,2,0),"")</f>
        <v/>
      </c>
      <c r="V62" s="38" t="str">
        <f>IFERROR(VLOOKUP(#REF!,#REF!,2,0),"")</f>
        <v/>
      </c>
      <c r="W62" s="38" t="str">
        <f>IFERROR(VLOOKUP(#REF!,#REF!,2,0),"")</f>
        <v/>
      </c>
      <c r="X62" s="38" t="str">
        <f>IFERROR(VLOOKUP(#REF!,#REF!,2,0),"")</f>
        <v/>
      </c>
      <c r="Y62" s="38" t="str">
        <f>IFERROR(VLOOKUP(#REF!,#REF!,2,0),"")</f>
        <v/>
      </c>
      <c r="Z62" s="38" t="str">
        <f>IFERROR(VLOOKUP(#REF!,#REF!,2,0),"")</f>
        <v/>
      </c>
      <c r="AA62" s="38"/>
      <c r="AB62" s="38"/>
      <c r="AC62" s="38"/>
      <c r="AD62" s="38"/>
      <c r="AE62" s="38"/>
      <c r="AF62" s="38"/>
      <c r="AG62" s="38" t="str">
        <f>IFERROR(VLOOKUP(#REF!,#REF!,2,0),"")</f>
        <v/>
      </c>
      <c r="AH62" s="38"/>
      <c r="AI62" s="38" t="str">
        <f>IFERROR(VLOOKUP(#REF!,#REF!,2,0),"")</f>
        <v/>
      </c>
    </row>
    <row r="63" spans="2:39">
      <c r="B63" s="42"/>
      <c r="C63" s="43"/>
      <c r="D63" s="43"/>
      <c r="E63" s="43"/>
      <c r="F63" s="43"/>
      <c r="G63" s="43"/>
      <c r="H63" s="43"/>
      <c r="I63" s="38" t="str">
        <f>IFERROR(VLOOKUP(#REF!,#REF!,2,0),"")</f>
        <v/>
      </c>
      <c r="J63" s="38" t="str">
        <f>IFERROR(VLOOKUP(#REF!,#REF!,2,0),"")</f>
        <v/>
      </c>
      <c r="K63" s="38" t="str">
        <f>IFERROR(VLOOKUP(#REF!,#REF!,2,0),"")</f>
        <v/>
      </c>
      <c r="L63" s="38" t="str">
        <f>IFERROR(VLOOKUP(#REF!,#REF!,2,0),"")</f>
        <v/>
      </c>
      <c r="M63" s="38" t="str">
        <f>IFERROR(VLOOKUP(#REF!,#REF!,2,0),"")</f>
        <v/>
      </c>
      <c r="N63" s="38" t="str">
        <f>IFERROR(VLOOKUP(#REF!,#REF!,2,0),"")</f>
        <v/>
      </c>
      <c r="O63" s="38" t="str">
        <f>IFERROR(VLOOKUP(#REF!,#REF!,2,0),"")</f>
        <v/>
      </c>
      <c r="P63" s="38" t="str">
        <f>IFERROR(VLOOKUP(#REF!,#REF!,2,0),"")</f>
        <v/>
      </c>
      <c r="Q63" s="38" t="str">
        <f>IFERROR(VLOOKUP(#REF!,#REF!,2,0),"")</f>
        <v/>
      </c>
      <c r="R63" s="38" t="str">
        <f>IFERROR(VLOOKUP(#REF!,#REF!,2,0),"")</f>
        <v/>
      </c>
      <c r="S63" s="38" t="str">
        <f>IFERROR(VLOOKUP(#REF!,#REF!,2,0),"")</f>
        <v/>
      </c>
      <c r="T63" s="38" t="str">
        <f>IFERROR(VLOOKUP(#REF!,#REF!,2,0),"")</f>
        <v/>
      </c>
      <c r="U63" s="38" t="str">
        <f>IFERROR(VLOOKUP(#REF!,#REF!,2,0),"")</f>
        <v/>
      </c>
      <c r="V63" s="38" t="str">
        <f>IFERROR(VLOOKUP(#REF!,#REF!,2,0),"")</f>
        <v/>
      </c>
      <c r="W63" s="38" t="str">
        <f>IFERROR(VLOOKUP(#REF!,#REF!,2,0),"")</f>
        <v/>
      </c>
      <c r="X63" s="38" t="str">
        <f>IFERROR(VLOOKUP(#REF!,#REF!,2,0),"")</f>
        <v/>
      </c>
      <c r="Y63" s="38" t="str">
        <f>IFERROR(VLOOKUP(#REF!,#REF!,2,0),"")</f>
        <v/>
      </c>
      <c r="Z63" s="38" t="str">
        <f>IFERROR(VLOOKUP(#REF!,#REF!,2,0),"")</f>
        <v/>
      </c>
      <c r="AA63" s="38"/>
      <c r="AB63" s="38"/>
      <c r="AC63" s="38"/>
      <c r="AD63" s="38"/>
      <c r="AE63" s="38"/>
      <c r="AF63" s="38"/>
      <c r="AG63" s="38" t="str">
        <f>IFERROR(VLOOKUP(#REF!,#REF!,2,0),"")</f>
        <v/>
      </c>
      <c r="AH63" s="38"/>
      <c r="AI63" s="38" t="str">
        <f>IFERROR(VLOOKUP(#REF!,#REF!,2,0),"")</f>
        <v/>
      </c>
    </row>
    <row r="64" spans="2:39">
      <c r="B64" s="42"/>
      <c r="C64" s="39"/>
      <c r="D64" s="39"/>
      <c r="E64" s="39"/>
      <c r="F64" s="39"/>
      <c r="G64" s="39"/>
      <c r="H64" s="39"/>
      <c r="I64" s="37" t="str">
        <f>IFERROR(VLOOKUP(#REF!,#REF!,2,0),"")</f>
        <v/>
      </c>
      <c r="J64" s="38" t="str">
        <f>IFERROR(VLOOKUP(#REF!,#REF!,2,0),"")</f>
        <v/>
      </c>
      <c r="K64" s="38" t="str">
        <f>IFERROR(VLOOKUP(#REF!,#REF!,2,0),"")</f>
        <v/>
      </c>
      <c r="L64" s="38" t="str">
        <f>IFERROR(VLOOKUP(#REF!,#REF!,2,0),"")</f>
        <v/>
      </c>
      <c r="M64" s="38" t="str">
        <f>IFERROR(VLOOKUP(#REF!,#REF!,2,0),"")</f>
        <v/>
      </c>
      <c r="N64" s="38" t="str">
        <f>IFERROR(VLOOKUP(#REF!,#REF!,2,0),"")</f>
        <v/>
      </c>
      <c r="O64" s="38" t="str">
        <f>IFERROR(VLOOKUP(#REF!,#REF!,2,0),"")</f>
        <v/>
      </c>
      <c r="P64" s="38" t="str">
        <f>IFERROR(VLOOKUP(#REF!,#REF!,2,0),"")</f>
        <v/>
      </c>
      <c r="Q64" s="38" t="str">
        <f>IFERROR(VLOOKUP(#REF!,#REF!,2,0),"")</f>
        <v/>
      </c>
      <c r="R64" s="38" t="str">
        <f>IFERROR(VLOOKUP(#REF!,#REF!,2,0),"")</f>
        <v/>
      </c>
      <c r="S64" s="38" t="str">
        <f>IFERROR(VLOOKUP(#REF!,#REF!,2,0),"")</f>
        <v/>
      </c>
      <c r="T64" s="38" t="str">
        <f>IFERROR(VLOOKUP(#REF!,#REF!,2,0),"")</f>
        <v/>
      </c>
      <c r="U64" s="38" t="str">
        <f>IFERROR(VLOOKUP(#REF!,#REF!,2,0),"")</f>
        <v/>
      </c>
      <c r="V64" s="38" t="str">
        <f>IFERROR(VLOOKUP(#REF!,#REF!,2,0),"")</f>
        <v/>
      </c>
      <c r="W64" s="38" t="str">
        <f>IFERROR(VLOOKUP(#REF!,#REF!,2,0),"")</f>
        <v/>
      </c>
      <c r="X64" s="38" t="str">
        <f>IFERROR(VLOOKUP(#REF!,#REF!,2,0),"")</f>
        <v/>
      </c>
      <c r="Y64" s="38" t="str">
        <f>IFERROR(VLOOKUP(#REF!,#REF!,2,0),"")</f>
        <v/>
      </c>
      <c r="Z64" s="38" t="str">
        <f>IFERROR(VLOOKUP(#REF!,#REF!,2,0),"")</f>
        <v/>
      </c>
      <c r="AA64" s="38"/>
      <c r="AB64" s="38"/>
      <c r="AC64" s="38"/>
      <c r="AD64" s="38"/>
      <c r="AE64" s="38"/>
      <c r="AF64" s="38"/>
      <c r="AG64" s="38" t="str">
        <f>IFERROR(VLOOKUP(#REF!,#REF!,2,0),"")</f>
        <v/>
      </c>
      <c r="AH64" s="38"/>
      <c r="AI64" s="38" t="str">
        <f>IFERROR(VLOOKUP(#REF!,#REF!,2,0),"")</f>
        <v/>
      </c>
    </row>
    <row r="65" spans="2:35">
      <c r="B65" s="42"/>
      <c r="C65" s="44"/>
      <c r="D65" s="44"/>
      <c r="E65" s="44"/>
      <c r="F65" s="44"/>
      <c r="G65" s="44"/>
      <c r="H65" s="44"/>
      <c r="I65" s="45" t="str">
        <f>IFERROR(VLOOKUP(I12,#REF!,2,0),"")</f>
        <v/>
      </c>
      <c r="J65" s="38" t="str">
        <f>IFERROR(VLOOKUP(J12,#REF!,2,0),"")</f>
        <v/>
      </c>
      <c r="K65" s="38" t="str">
        <f>IFERROR(VLOOKUP(K12,#REF!,2,0),"")</f>
        <v/>
      </c>
      <c r="L65" s="38" t="str">
        <f>IFERROR(VLOOKUP(L12,#REF!,2,0),"")</f>
        <v/>
      </c>
      <c r="M65" s="38" t="str">
        <f>IFERROR(VLOOKUP(M12,#REF!,2,0),"")</f>
        <v/>
      </c>
      <c r="N65" s="38" t="str">
        <f>IFERROR(VLOOKUP(N12,#REF!,2,0),"")</f>
        <v/>
      </c>
      <c r="O65" s="38" t="str">
        <f>IFERROR(VLOOKUP(O12,#REF!,2,0),"")</f>
        <v/>
      </c>
      <c r="P65" s="38" t="str">
        <f>IFERROR(VLOOKUP(P12,#REF!,2,0),"")</f>
        <v/>
      </c>
      <c r="Q65" s="38" t="str">
        <f>IFERROR(VLOOKUP(Q12,#REF!,2,0),"")</f>
        <v/>
      </c>
      <c r="R65" s="38" t="str">
        <f>IFERROR(VLOOKUP(R12,#REF!,2,0),"")</f>
        <v/>
      </c>
      <c r="S65" s="38" t="str">
        <f>IFERROR(VLOOKUP(S12,#REF!,2,0),"")</f>
        <v/>
      </c>
      <c r="T65" s="38" t="str">
        <f>IFERROR(VLOOKUP(T12,#REF!,2,0),"")</f>
        <v/>
      </c>
      <c r="U65" s="38" t="str">
        <f>IFERROR(VLOOKUP(U12,#REF!,2,0),"")</f>
        <v/>
      </c>
      <c r="V65" s="38" t="str">
        <f>IFERROR(VLOOKUP(V12,#REF!,2,0),"")</f>
        <v/>
      </c>
      <c r="W65" s="38" t="str">
        <f>IFERROR(VLOOKUP(W12,#REF!,2,0),"")</f>
        <v/>
      </c>
      <c r="X65" s="38" t="str">
        <f>IFERROR(VLOOKUP(X12,#REF!,2,0),"")</f>
        <v/>
      </c>
      <c r="Y65" s="38" t="str">
        <f>IFERROR(VLOOKUP(Y12,#REF!,2,0),"")</f>
        <v/>
      </c>
      <c r="Z65" s="38" t="str">
        <f>IFERROR(VLOOKUP(Z12,#REF!,2,0),"")</f>
        <v/>
      </c>
      <c r="AA65" s="38"/>
      <c r="AB65" s="38"/>
      <c r="AC65" s="38"/>
      <c r="AD65" s="38"/>
      <c r="AE65" s="38"/>
      <c r="AF65" s="38"/>
      <c r="AG65" s="38" t="str">
        <f>IFERROR(VLOOKUP(AG12,#REF!,2,0),"")</f>
        <v/>
      </c>
      <c r="AH65" s="38"/>
      <c r="AI65" s="38" t="str">
        <f>IFERROR(VLOOKUP(AI12,#REF!,2,0),"")</f>
        <v/>
      </c>
    </row>
    <row r="66" spans="2:35">
      <c r="B66" s="42"/>
      <c r="C66" s="43"/>
      <c r="D66" s="43"/>
      <c r="E66" s="43"/>
      <c r="F66" s="43"/>
      <c r="G66" s="43"/>
      <c r="H66" s="43"/>
      <c r="I66" s="46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</row>
    <row r="67" spans="2:35">
      <c r="B67" s="48"/>
      <c r="C67" s="49"/>
      <c r="D67" s="49"/>
      <c r="E67" s="49"/>
      <c r="F67" s="49"/>
      <c r="G67" s="49"/>
      <c r="H67" s="49"/>
      <c r="I67" s="50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</row>
    <row r="68" spans="2:35">
      <c r="B68" s="23"/>
      <c r="C68" s="23"/>
      <c r="D68" s="23"/>
      <c r="E68" s="23"/>
      <c r="F68" s="23"/>
      <c r="G68" s="23"/>
      <c r="H68" s="23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</row>
    <row r="69" spans="2:35">
      <c r="B69" s="23"/>
      <c r="C69" s="23"/>
      <c r="D69" s="23"/>
      <c r="E69" s="23"/>
      <c r="F69" s="23"/>
      <c r="G69" s="23"/>
      <c r="H69" s="23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</row>
    <row r="70" spans="2:35">
      <c r="B70" s="25" t="s">
        <v>81</v>
      </c>
      <c r="C70" s="25"/>
      <c r="D70" s="25"/>
      <c r="E70" s="25"/>
      <c r="F70" s="25"/>
      <c r="G70" s="25"/>
      <c r="H70" s="25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</row>
    <row r="71" spans="2:35">
      <c r="B71" s="27" t="s">
        <v>80</v>
      </c>
      <c r="C71" s="27"/>
      <c r="D71" s="27"/>
      <c r="E71" s="27"/>
      <c r="F71" s="27"/>
      <c r="G71" s="27"/>
      <c r="H71" s="27"/>
      <c r="I71" s="52">
        <v>45839</v>
      </c>
      <c r="J71" s="52">
        <f t="shared" ref="J71:Z71" si="5">I71+1</f>
        <v>45840</v>
      </c>
      <c r="K71" s="52">
        <f t="shared" si="5"/>
        <v>45841</v>
      </c>
      <c r="L71" s="52">
        <f t="shared" si="5"/>
        <v>45842</v>
      </c>
      <c r="M71" s="52">
        <f t="shared" si="5"/>
        <v>45843</v>
      </c>
      <c r="N71" s="52">
        <f t="shared" si="5"/>
        <v>45844</v>
      </c>
      <c r="O71" s="52">
        <f t="shared" si="5"/>
        <v>45845</v>
      </c>
      <c r="P71" s="52">
        <f t="shared" si="5"/>
        <v>45846</v>
      </c>
      <c r="Q71" s="52">
        <f t="shared" si="5"/>
        <v>45847</v>
      </c>
      <c r="R71" s="52">
        <f t="shared" si="5"/>
        <v>45848</v>
      </c>
      <c r="S71" s="52">
        <f t="shared" si="5"/>
        <v>45849</v>
      </c>
      <c r="T71" s="52">
        <f t="shared" si="5"/>
        <v>45850</v>
      </c>
      <c r="U71" s="52">
        <f t="shared" si="5"/>
        <v>45851</v>
      </c>
      <c r="V71" s="52">
        <f t="shared" si="5"/>
        <v>45852</v>
      </c>
      <c r="W71" s="52">
        <f t="shared" si="5"/>
        <v>45853</v>
      </c>
      <c r="X71" s="52">
        <f t="shared" si="5"/>
        <v>45854</v>
      </c>
      <c r="Y71" s="52">
        <f t="shared" si="5"/>
        <v>45855</v>
      </c>
      <c r="Z71" s="52">
        <f t="shared" si="5"/>
        <v>45856</v>
      </c>
      <c r="AA71" s="52"/>
      <c r="AB71" s="52"/>
      <c r="AC71" s="52"/>
      <c r="AD71" s="52"/>
      <c r="AE71" s="52"/>
      <c r="AF71" s="52"/>
      <c r="AG71" s="52">
        <f>Z71+1</f>
        <v>45857</v>
      </c>
      <c r="AH71" s="52"/>
      <c r="AI71" s="52">
        <f>AG71+1</f>
        <v>45858</v>
      </c>
    </row>
    <row r="72" spans="2:35">
      <c r="B72" s="28"/>
      <c r="C72" s="30"/>
      <c r="D72" s="30"/>
      <c r="E72" s="30"/>
      <c r="F72" s="30"/>
      <c r="G72" s="30"/>
      <c r="H72" s="30"/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</row>
    <row r="73" spans="2:35">
      <c r="B73" s="53"/>
      <c r="C73" s="54"/>
      <c r="D73" s="54"/>
      <c r="E73" s="54"/>
      <c r="F73" s="54"/>
      <c r="G73" s="54"/>
      <c r="H73" s="54"/>
      <c r="I73" s="55" t="str">
        <f>IFERROR(VLOOKUP(I2,#REF!,3,0),"")</f>
        <v/>
      </c>
      <c r="J73" s="35" t="str">
        <f>IFERROR(VLOOKUP(J2,#REF!,3,0),"")</f>
        <v/>
      </c>
      <c r="K73" s="35" t="str">
        <f>IFERROR(VLOOKUP(K2,#REF!,3,0),"")</f>
        <v/>
      </c>
      <c r="L73" s="35" t="str">
        <f>IFERROR(VLOOKUP(L2,#REF!,3,0),"")</f>
        <v/>
      </c>
      <c r="M73" s="35" t="str">
        <f>IFERROR(VLOOKUP(M2,#REF!,3,0),"")</f>
        <v/>
      </c>
      <c r="N73" s="35" t="str">
        <f>IFERROR(VLOOKUP(N2,#REF!,3,0),"")</f>
        <v/>
      </c>
      <c r="O73" s="35" t="str">
        <f>IFERROR(VLOOKUP(O2,#REF!,3,0),"")</f>
        <v/>
      </c>
      <c r="P73" s="35" t="str">
        <f>IFERROR(VLOOKUP(P2,#REF!,3,0),"")</f>
        <v/>
      </c>
      <c r="Q73" s="35" t="str">
        <f>IFERROR(VLOOKUP(Q2,#REF!,3,0),"")</f>
        <v/>
      </c>
      <c r="R73" s="35" t="str">
        <f>IFERROR(VLOOKUP(R2,#REF!,3,0),"")</f>
        <v/>
      </c>
      <c r="S73" s="35" t="str">
        <f>IFERROR(VLOOKUP(S2,#REF!,3,0),"")</f>
        <v/>
      </c>
      <c r="T73" s="35" t="str">
        <f>IFERROR(VLOOKUP(T2,#REF!,3,0),"")</f>
        <v/>
      </c>
      <c r="U73" s="35" t="str">
        <f>IFERROR(VLOOKUP(U2,#REF!,3,0),"")</f>
        <v/>
      </c>
      <c r="V73" s="35" t="str">
        <f>IFERROR(VLOOKUP(V2,#REF!,3,0),"")</f>
        <v/>
      </c>
      <c r="W73" s="35" t="str">
        <f>IFERROR(VLOOKUP(W2,#REF!,3,0),"")</f>
        <v/>
      </c>
      <c r="X73" s="35" t="str">
        <f>IFERROR(VLOOKUP(X2,#REF!,3,0),"")</f>
        <v/>
      </c>
      <c r="Y73" s="35" t="str">
        <f>IFERROR(VLOOKUP(Y2,#REF!,3,0),"")</f>
        <v/>
      </c>
      <c r="Z73" s="35" t="str">
        <f>IFERROR(VLOOKUP(Z2,#REF!,3,0),"")</f>
        <v/>
      </c>
      <c r="AA73" s="35"/>
      <c r="AB73" s="35"/>
      <c r="AC73" s="35"/>
      <c r="AD73" s="35"/>
      <c r="AE73" s="35"/>
      <c r="AF73" s="35"/>
      <c r="AG73" s="35" t="str">
        <f>IFERROR(VLOOKUP(AG2,#REF!,3,0),"")</f>
        <v/>
      </c>
      <c r="AH73" s="35"/>
      <c r="AI73" s="35" t="str">
        <f>IFERROR(VLOOKUP(AI2,#REF!,3,0),"")</f>
        <v/>
      </c>
    </row>
    <row r="74" spans="2:35">
      <c r="B74" s="41"/>
      <c r="C74" s="36"/>
      <c r="D74" s="36"/>
      <c r="E74" s="36"/>
      <c r="F74" s="36"/>
      <c r="G74" s="36"/>
      <c r="H74" s="36"/>
      <c r="I74" s="56" t="str">
        <f>IFERROR(VLOOKUP(I3,#REF!,3,0),"")</f>
        <v/>
      </c>
      <c r="J74" s="57" t="str">
        <f>IFERROR(VLOOKUP(J3,#REF!,3,0),"")</f>
        <v/>
      </c>
      <c r="K74" s="57" t="str">
        <f>IFERROR(VLOOKUP(K3,#REF!,3,0),"")</f>
        <v/>
      </c>
      <c r="L74" s="57" t="str">
        <f>IFERROR(VLOOKUP(L3,#REF!,3,0),"")</f>
        <v/>
      </c>
      <c r="M74" s="57" t="str">
        <f>IFERROR(VLOOKUP(M3,#REF!,3,0),"")</f>
        <v/>
      </c>
      <c r="N74" s="57" t="str">
        <f>IFERROR(VLOOKUP(N3,#REF!,3,0),"")</f>
        <v/>
      </c>
      <c r="O74" s="57" t="str">
        <f>IFERROR(VLOOKUP(O3,#REF!,3,0),"")</f>
        <v/>
      </c>
      <c r="P74" s="57" t="str">
        <f>IFERROR(VLOOKUP(P3,#REF!,3,0),"")</f>
        <v/>
      </c>
      <c r="Q74" s="57" t="str">
        <f>IFERROR(VLOOKUP(Q3,#REF!,3,0),"")</f>
        <v/>
      </c>
      <c r="R74" s="57" t="str">
        <f>IFERROR(VLOOKUP(R3,#REF!,3,0),"")</f>
        <v/>
      </c>
      <c r="S74" s="57" t="str">
        <f>IFERROR(VLOOKUP(S3,#REF!,3,0),"")</f>
        <v/>
      </c>
      <c r="T74" s="57" t="str">
        <f>IFERROR(VLOOKUP(T3,#REF!,3,0),"")</f>
        <v/>
      </c>
      <c r="U74" s="57" t="str">
        <f>IFERROR(VLOOKUP(U3,#REF!,3,0),"")</f>
        <v/>
      </c>
      <c r="V74" s="57" t="str">
        <f>IFERROR(VLOOKUP(V3,#REF!,3,0),"")</f>
        <v/>
      </c>
      <c r="W74" s="57" t="str">
        <f>IFERROR(VLOOKUP(W3,#REF!,3,0),"")</f>
        <v/>
      </c>
      <c r="X74" s="57" t="str">
        <f>IFERROR(VLOOKUP(X3,#REF!,3,0),"")</f>
        <v/>
      </c>
      <c r="Y74" s="57" t="str">
        <f>IFERROR(VLOOKUP(Y3,#REF!,3,0),"")</f>
        <v/>
      </c>
      <c r="Z74" s="57" t="str">
        <f>IFERROR(VLOOKUP(Z3,#REF!,3,0),"")</f>
        <v/>
      </c>
      <c r="AA74" s="57"/>
      <c r="AB74" s="57"/>
      <c r="AC74" s="57"/>
      <c r="AD74" s="57"/>
      <c r="AE74" s="57"/>
      <c r="AF74" s="57"/>
      <c r="AG74" s="57" t="str">
        <f>IFERROR(VLOOKUP(AG3,#REF!,3,0),"")</f>
        <v/>
      </c>
      <c r="AH74" s="57"/>
      <c r="AI74" s="57" t="str">
        <f>IFERROR(VLOOKUP(AI3,#REF!,3,0),"")</f>
        <v/>
      </c>
    </row>
    <row r="75" spans="2:35">
      <c r="B75" s="42"/>
      <c r="C75" s="39"/>
      <c r="D75" s="39"/>
      <c r="E75" s="39"/>
      <c r="F75" s="39"/>
      <c r="G75" s="39"/>
      <c r="H75" s="39"/>
      <c r="I75" s="56" t="str">
        <f>IFERROR(VLOOKUP(#REF!,#REF!,3,0),"")</f>
        <v/>
      </c>
      <c r="J75" s="57" t="str">
        <f>IFERROR(VLOOKUP(#REF!,#REF!,3,0),"")</f>
        <v/>
      </c>
      <c r="K75" s="57" t="str">
        <f>IFERROR(VLOOKUP(#REF!,#REF!,3,0),"")</f>
        <v/>
      </c>
      <c r="L75" s="57" t="str">
        <f>IFERROR(VLOOKUP(#REF!,#REF!,3,0),"")</f>
        <v/>
      </c>
      <c r="M75" s="57" t="str">
        <f>IFERROR(VLOOKUP(#REF!,#REF!,3,0),"")</f>
        <v/>
      </c>
      <c r="N75" s="57" t="str">
        <f>IFERROR(VLOOKUP(#REF!,#REF!,3,0),"")</f>
        <v/>
      </c>
      <c r="O75" s="57" t="str">
        <f>IFERROR(VLOOKUP(#REF!,#REF!,3,0),"")</f>
        <v/>
      </c>
      <c r="P75" s="57" t="str">
        <f>IFERROR(VLOOKUP(#REF!,#REF!,3,0),"")</f>
        <v/>
      </c>
      <c r="Q75" s="57" t="str">
        <f>IFERROR(VLOOKUP(#REF!,#REF!,3,0),"")</f>
        <v/>
      </c>
      <c r="R75" s="57" t="str">
        <f>IFERROR(VLOOKUP(#REF!,#REF!,3,0),"")</f>
        <v/>
      </c>
      <c r="S75" s="57" t="str">
        <f>IFERROR(VLOOKUP(#REF!,#REF!,3,0),"")</f>
        <v/>
      </c>
      <c r="T75" s="57" t="str">
        <f>IFERROR(VLOOKUP(#REF!,#REF!,3,0),"")</f>
        <v/>
      </c>
      <c r="U75" s="57" t="str">
        <f>IFERROR(VLOOKUP(#REF!,#REF!,3,0),"")</f>
        <v/>
      </c>
      <c r="V75" s="57" t="str">
        <f>IFERROR(VLOOKUP(#REF!,#REF!,3,0),"")</f>
        <v/>
      </c>
      <c r="W75" s="57" t="str">
        <f>IFERROR(VLOOKUP(#REF!,#REF!,3,0),"")</f>
        <v/>
      </c>
      <c r="X75" s="57" t="str">
        <f>IFERROR(VLOOKUP(#REF!,#REF!,3,0),"")</f>
        <v/>
      </c>
      <c r="Y75" s="57" t="str">
        <f>IFERROR(VLOOKUP(#REF!,#REF!,3,0),"")</f>
        <v/>
      </c>
      <c r="Z75" s="57" t="str">
        <f>IFERROR(VLOOKUP(#REF!,#REF!,3,0),"")</f>
        <v/>
      </c>
      <c r="AA75" s="57"/>
      <c r="AB75" s="57"/>
      <c r="AC75" s="57"/>
      <c r="AD75" s="57"/>
      <c r="AE75" s="57"/>
      <c r="AF75" s="57"/>
      <c r="AG75" s="57" t="str">
        <f>IFERROR(VLOOKUP(#REF!,#REF!,3,0),"")</f>
        <v/>
      </c>
      <c r="AH75" s="57"/>
      <c r="AI75" s="57" t="str">
        <f>IFERROR(VLOOKUP(#REF!,#REF!,3,0),"")</f>
        <v/>
      </c>
    </row>
    <row r="76" spans="2:35">
      <c r="B76" s="41"/>
      <c r="C76" s="36"/>
      <c r="D76" s="36"/>
      <c r="E76" s="36"/>
      <c r="F76" s="36"/>
      <c r="G76" s="36"/>
      <c r="H76" s="36"/>
      <c r="I76" s="56" t="str">
        <f>IFERROR(VLOOKUP(I4,#REF!,3,0),"")</f>
        <v/>
      </c>
      <c r="J76" s="57" t="str">
        <f>IFERROR(VLOOKUP(J4,#REF!,3,0),"")</f>
        <v/>
      </c>
      <c r="K76" s="57" t="str">
        <f>IFERROR(VLOOKUP(K4,#REF!,3,0),"")</f>
        <v/>
      </c>
      <c r="L76" s="57" t="str">
        <f>IFERROR(VLOOKUP(L4,#REF!,3,0),"")</f>
        <v/>
      </c>
      <c r="M76" s="57" t="str">
        <f>IFERROR(VLOOKUP(M4,#REF!,3,0),"")</f>
        <v/>
      </c>
      <c r="N76" s="57" t="str">
        <f>IFERROR(VLOOKUP(N4,#REF!,3,0),"")</f>
        <v/>
      </c>
      <c r="O76" s="57" t="str">
        <f>IFERROR(VLOOKUP(O4,#REF!,3,0),"")</f>
        <v/>
      </c>
      <c r="P76" s="57" t="str">
        <f>IFERROR(VLOOKUP(P4,#REF!,3,0),"")</f>
        <v/>
      </c>
      <c r="Q76" s="57" t="str">
        <f>IFERROR(VLOOKUP(Q4,#REF!,3,0),"")</f>
        <v/>
      </c>
      <c r="R76" s="57" t="str">
        <f>IFERROR(VLOOKUP(R4,#REF!,3,0),"")</f>
        <v/>
      </c>
      <c r="S76" s="57" t="str">
        <f>IFERROR(VLOOKUP(S4,#REF!,3,0),"")</f>
        <v/>
      </c>
      <c r="T76" s="57" t="str">
        <f>IFERROR(VLOOKUP(T4,#REF!,3,0),"")</f>
        <v/>
      </c>
      <c r="U76" s="57" t="str">
        <f>IFERROR(VLOOKUP(U4,#REF!,3,0),"")</f>
        <v/>
      </c>
      <c r="V76" s="57" t="str">
        <f>IFERROR(VLOOKUP(V4,#REF!,3,0),"")</f>
        <v/>
      </c>
      <c r="W76" s="57" t="str">
        <f>IFERROR(VLOOKUP(W4,#REF!,3,0),"")</f>
        <v/>
      </c>
      <c r="X76" s="57" t="str">
        <f>IFERROR(VLOOKUP(X4,#REF!,3,0),"")</f>
        <v/>
      </c>
      <c r="Y76" s="57" t="str">
        <f>IFERROR(VLOOKUP(Y4,#REF!,3,0),"")</f>
        <v/>
      </c>
      <c r="Z76" s="57" t="str">
        <f>IFERROR(VLOOKUP(Z4,#REF!,3,0),"")</f>
        <v/>
      </c>
      <c r="AA76" s="57"/>
      <c r="AB76" s="57"/>
      <c r="AC76" s="57"/>
      <c r="AD76" s="57"/>
      <c r="AE76" s="57"/>
      <c r="AF76" s="57"/>
      <c r="AG76" s="57" t="str">
        <f>IFERROR(VLOOKUP(AG4,#REF!,3,0),"")</f>
        <v/>
      </c>
      <c r="AH76" s="57"/>
      <c r="AI76" s="57" t="str">
        <f>IFERROR(VLOOKUP(AI4,#REF!,3,0),"")</f>
        <v/>
      </c>
    </row>
    <row r="77" spans="2:35">
      <c r="B77" s="41"/>
      <c r="C77" s="39"/>
      <c r="D77" s="39"/>
      <c r="E77" s="39"/>
      <c r="F77" s="39"/>
      <c r="G77" s="39"/>
      <c r="H77" s="39"/>
      <c r="I77" s="58" t="str">
        <f>IFERROR(VLOOKUP(I5,#REF!,3,0),"")</f>
        <v/>
      </c>
      <c r="J77" s="57" t="str">
        <f>IFERROR(VLOOKUP(J5,#REF!,3,0),"")</f>
        <v/>
      </c>
      <c r="K77" s="57" t="str">
        <f>IFERROR(VLOOKUP(K5,#REF!,3,0),"")</f>
        <v/>
      </c>
      <c r="L77" s="57" t="str">
        <f>IFERROR(VLOOKUP(L5,#REF!,3,0),"")</f>
        <v/>
      </c>
      <c r="M77" s="57" t="str">
        <f>IFERROR(VLOOKUP(M5,#REF!,3,0),"")</f>
        <v/>
      </c>
      <c r="N77" s="57" t="str">
        <f>IFERROR(VLOOKUP(N5,#REF!,3,0),"")</f>
        <v/>
      </c>
      <c r="O77" s="57" t="str">
        <f>IFERROR(VLOOKUP(O5,#REF!,3,0),"")</f>
        <v/>
      </c>
      <c r="P77" s="57" t="str">
        <f>IFERROR(VLOOKUP(P5,#REF!,3,0),"")</f>
        <v/>
      </c>
      <c r="Q77" s="57" t="str">
        <f>IFERROR(VLOOKUP(Q5,#REF!,3,0),"")</f>
        <v/>
      </c>
      <c r="R77" s="57" t="str">
        <f>IFERROR(VLOOKUP(R5,#REF!,3,0),"")</f>
        <v/>
      </c>
      <c r="S77" s="57" t="str">
        <f>IFERROR(VLOOKUP(S5,#REF!,3,0),"")</f>
        <v/>
      </c>
      <c r="T77" s="57" t="str">
        <f>IFERROR(VLOOKUP(T5,#REF!,3,0),"")</f>
        <v/>
      </c>
      <c r="U77" s="57" t="str">
        <f>IFERROR(VLOOKUP(U5,#REF!,3,0),"")</f>
        <v/>
      </c>
      <c r="V77" s="57" t="str">
        <f>IFERROR(VLOOKUP(V5,#REF!,3,0),"")</f>
        <v/>
      </c>
      <c r="W77" s="57" t="str">
        <f>IFERROR(VLOOKUP(W5,#REF!,3,0),"")</f>
        <v/>
      </c>
      <c r="X77" s="57" t="str">
        <f>IFERROR(VLOOKUP(X5,#REF!,3,0),"")</f>
        <v/>
      </c>
      <c r="Y77" s="57" t="str">
        <f>IFERROR(VLOOKUP(Y5,#REF!,3,0),"")</f>
        <v/>
      </c>
      <c r="Z77" s="57" t="str">
        <f>IFERROR(VLOOKUP(Z5,#REF!,3,0),"")</f>
        <v/>
      </c>
      <c r="AA77" s="57"/>
      <c r="AB77" s="57"/>
      <c r="AC77" s="57"/>
      <c r="AD77" s="57"/>
      <c r="AE77" s="57"/>
      <c r="AF77" s="57"/>
      <c r="AG77" s="57" t="str">
        <f>IFERROR(VLOOKUP(AG5,#REF!,3,0),"")</f>
        <v/>
      </c>
      <c r="AH77" s="57"/>
      <c r="AI77" s="57" t="str">
        <f>IFERROR(VLOOKUP(AI5,#REF!,3,0),"")</f>
        <v/>
      </c>
    </row>
    <row r="78" spans="2:35">
      <c r="B78" s="42"/>
      <c r="C78" s="39"/>
      <c r="D78" s="39"/>
      <c r="E78" s="39"/>
      <c r="F78" s="39"/>
      <c r="G78" s="39"/>
      <c r="H78" s="39"/>
      <c r="I78" s="50" t="str">
        <f>IFERROR(VLOOKUP(I6,#REF!,3,0),"")</f>
        <v/>
      </c>
      <c r="J78" s="50" t="str">
        <f>IFERROR(VLOOKUP(J6,#REF!,3,0),"")</f>
        <v/>
      </c>
      <c r="K78" s="38" t="str">
        <f>IFERROR(VLOOKUP(K6,#REF!,3,0),"")</f>
        <v/>
      </c>
      <c r="L78" s="38" t="str">
        <f>IFERROR(VLOOKUP(L6,#REF!,3,0),"")</f>
        <v/>
      </c>
      <c r="M78" s="38" t="str">
        <f>IFERROR(VLOOKUP(M6,#REF!,3,0),"")</f>
        <v/>
      </c>
      <c r="N78" s="38" t="str">
        <f>IFERROR(VLOOKUP(N6,#REF!,3,0),"")</f>
        <v/>
      </c>
      <c r="O78" s="38" t="str">
        <f>IFERROR(VLOOKUP(O6,#REF!,3,0),"")</f>
        <v/>
      </c>
      <c r="P78" s="38" t="str">
        <f>IFERROR(VLOOKUP(P6,#REF!,3,0),"")</f>
        <v/>
      </c>
      <c r="Q78" s="38" t="str">
        <f>IFERROR(VLOOKUP(Q6,#REF!,3,0),"")</f>
        <v/>
      </c>
      <c r="R78" s="38" t="str">
        <f>IFERROR(VLOOKUP(R6,#REF!,3,0),"")</f>
        <v/>
      </c>
      <c r="S78" s="38" t="str">
        <f>IFERROR(VLOOKUP(S6,#REF!,3,0),"")</f>
        <v/>
      </c>
      <c r="T78" s="38" t="str">
        <f>IFERROR(VLOOKUP(T6,#REF!,3,0),"")</f>
        <v/>
      </c>
      <c r="U78" s="38" t="str">
        <f>IFERROR(VLOOKUP(U6,#REF!,3,0),"")</f>
        <v/>
      </c>
      <c r="V78" s="38" t="str">
        <f>IFERROR(VLOOKUP(V6,#REF!,3,0),"")</f>
        <v/>
      </c>
      <c r="W78" s="38" t="str">
        <f>IFERROR(VLOOKUP(W6,#REF!,3,0),"")</f>
        <v/>
      </c>
      <c r="X78" s="38" t="str">
        <f>IFERROR(VLOOKUP(X6,#REF!,3,0),"")</f>
        <v/>
      </c>
      <c r="Y78" s="38" t="str">
        <f>IFERROR(VLOOKUP(Y6,#REF!,3,0),"")</f>
        <v/>
      </c>
      <c r="Z78" s="38" t="str">
        <f>IFERROR(VLOOKUP(Z6,#REF!,3,0),"")</f>
        <v/>
      </c>
      <c r="AA78" s="38"/>
      <c r="AB78" s="38"/>
      <c r="AC78" s="38"/>
      <c r="AD78" s="38"/>
      <c r="AE78" s="38"/>
      <c r="AF78" s="38"/>
      <c r="AG78" s="38" t="str">
        <f>IFERROR(VLOOKUP(AG6,#REF!,3,0),"")</f>
        <v/>
      </c>
      <c r="AH78" s="38"/>
      <c r="AI78" s="38" t="str">
        <f>IFERROR(VLOOKUP(AI6,#REF!,3,0),"")</f>
        <v/>
      </c>
    </row>
    <row r="79" spans="2:35">
      <c r="B79" s="42"/>
      <c r="C79" s="39"/>
      <c r="D79" s="39"/>
      <c r="E79" s="39"/>
      <c r="F79" s="39"/>
      <c r="G79" s="39"/>
      <c r="H79" s="39"/>
      <c r="I79" s="56" t="str">
        <f>IFERROR(VLOOKUP(#REF!,#REF!,3,0),"")</f>
        <v/>
      </c>
      <c r="J79" s="57" t="str">
        <f>IFERROR(VLOOKUP(#REF!,#REF!,3,0),"")</f>
        <v/>
      </c>
      <c r="K79" s="57" t="str">
        <f>IFERROR(VLOOKUP(#REF!,#REF!,3,0),"")</f>
        <v/>
      </c>
      <c r="L79" s="57" t="str">
        <f>IFERROR(VLOOKUP(#REF!,#REF!,3,0),"")</f>
        <v/>
      </c>
      <c r="M79" s="57" t="str">
        <f>IFERROR(VLOOKUP(#REF!,#REF!,3,0),"")</f>
        <v/>
      </c>
      <c r="N79" s="57" t="str">
        <f>IFERROR(VLOOKUP(#REF!,#REF!,3,0),"")</f>
        <v/>
      </c>
      <c r="O79" s="57" t="str">
        <f>IFERROR(VLOOKUP(#REF!,#REF!,3,0),"")</f>
        <v/>
      </c>
      <c r="P79" s="57" t="str">
        <f>IFERROR(VLOOKUP(#REF!,#REF!,3,0),"")</f>
        <v/>
      </c>
      <c r="Q79" s="57" t="str">
        <f>IFERROR(VLOOKUP(#REF!,#REF!,3,0),"")</f>
        <v/>
      </c>
      <c r="R79" s="57" t="str">
        <f>IFERROR(VLOOKUP(#REF!,#REF!,3,0),"")</f>
        <v/>
      </c>
      <c r="S79" s="57" t="str">
        <f>IFERROR(VLOOKUP(#REF!,#REF!,3,0),"")</f>
        <v/>
      </c>
      <c r="T79" s="57" t="str">
        <f>IFERROR(VLOOKUP(#REF!,#REF!,3,0),"")</f>
        <v/>
      </c>
      <c r="U79" s="57" t="str">
        <f>IFERROR(VLOOKUP(#REF!,#REF!,3,0),"")</f>
        <v/>
      </c>
      <c r="V79" s="57" t="str">
        <f>IFERROR(VLOOKUP(#REF!,#REF!,3,0),"")</f>
        <v/>
      </c>
      <c r="W79" s="38" t="str">
        <f>IFERROR(VLOOKUP(#REF!,#REF!,3,0),"")</f>
        <v/>
      </c>
      <c r="X79" s="38" t="str">
        <f>IFERROR(VLOOKUP(#REF!,#REF!,3,0),"")</f>
        <v/>
      </c>
      <c r="Y79" s="38" t="str">
        <f>IFERROR(VLOOKUP(#REF!,#REF!,3,0),"")</f>
        <v/>
      </c>
      <c r="Z79" s="38" t="str">
        <f>IFERROR(VLOOKUP(#REF!,#REF!,3,0),"")</f>
        <v/>
      </c>
      <c r="AA79" s="38"/>
      <c r="AB79" s="38"/>
      <c r="AC79" s="38"/>
      <c r="AD79" s="38"/>
      <c r="AE79" s="38"/>
      <c r="AF79" s="38"/>
      <c r="AG79" s="38" t="str">
        <f>IFERROR(VLOOKUP(#REF!,#REF!,3,0),"")</f>
        <v/>
      </c>
      <c r="AH79" s="38"/>
      <c r="AI79" s="38" t="str">
        <f>IFERROR(VLOOKUP(#REF!,#REF!,3,0),"")</f>
        <v/>
      </c>
    </row>
    <row r="80" spans="2:35">
      <c r="B80" s="42"/>
      <c r="C80" s="39"/>
      <c r="D80" s="39"/>
      <c r="E80" s="39"/>
      <c r="F80" s="39"/>
      <c r="G80" s="39"/>
      <c r="H80" s="39"/>
      <c r="I80" s="56" t="str">
        <f>IFERROR(VLOOKUP(#REF!,#REF!,3,0),"")</f>
        <v/>
      </c>
      <c r="J80" s="57" t="str">
        <f>IFERROR(VLOOKUP(#REF!,#REF!,3,0),"")</f>
        <v/>
      </c>
      <c r="K80" s="57" t="str">
        <f>IFERROR(VLOOKUP(#REF!,#REF!,3,0),"")</f>
        <v/>
      </c>
      <c r="L80" s="57" t="str">
        <f>IFERROR(VLOOKUP(#REF!,#REF!,3,0),"")</f>
        <v/>
      </c>
      <c r="M80" s="57" t="str">
        <f>IFERROR(VLOOKUP(#REF!,#REF!,3,0),"")</f>
        <v/>
      </c>
      <c r="N80" s="57" t="str">
        <f>IFERROR(VLOOKUP(#REF!,#REF!,3,0),"")</f>
        <v/>
      </c>
      <c r="O80" s="57" t="str">
        <f>IFERROR(VLOOKUP(#REF!,#REF!,3,0),"")</f>
        <v/>
      </c>
      <c r="P80" s="57" t="str">
        <f>IFERROR(VLOOKUP(#REF!,#REF!,3,0),"")</f>
        <v/>
      </c>
      <c r="Q80" s="57" t="str">
        <f>IFERROR(VLOOKUP(#REF!,#REF!,3,0),"")</f>
        <v/>
      </c>
      <c r="R80" s="57" t="str">
        <f>IFERROR(VLOOKUP(#REF!,#REF!,3,0),"")</f>
        <v/>
      </c>
      <c r="S80" s="57" t="str">
        <f>IFERROR(VLOOKUP(#REF!,#REF!,3,0),"")</f>
        <v/>
      </c>
      <c r="T80" s="57" t="str">
        <f>IFERROR(VLOOKUP(#REF!,#REF!,3,0),"")</f>
        <v/>
      </c>
      <c r="U80" s="57" t="str">
        <f>IFERROR(VLOOKUP(#REF!,#REF!,3,0),"")</f>
        <v/>
      </c>
      <c r="V80" s="57" t="str">
        <f>IFERROR(VLOOKUP(#REF!,#REF!,3,0),"")</f>
        <v/>
      </c>
      <c r="W80" s="57" t="str">
        <f>IFERROR(VLOOKUP(#REF!,#REF!,3,0),"")</f>
        <v/>
      </c>
      <c r="X80" s="57" t="str">
        <f>IFERROR(VLOOKUP(#REF!,#REF!,3,0),"")</f>
        <v/>
      </c>
      <c r="Y80" s="57" t="str">
        <f>IFERROR(VLOOKUP(#REF!,#REF!,3,0),"")</f>
        <v/>
      </c>
      <c r="Z80" s="57" t="str">
        <f>IFERROR(VLOOKUP(#REF!,#REF!,3,0),"")</f>
        <v/>
      </c>
      <c r="AA80" s="57"/>
      <c r="AB80" s="57"/>
      <c r="AC80" s="57"/>
      <c r="AD80" s="57"/>
      <c r="AE80" s="57"/>
      <c r="AF80" s="57"/>
      <c r="AG80" s="57" t="str">
        <f>IFERROR(VLOOKUP(#REF!,#REF!,3,0),"")</f>
        <v/>
      </c>
      <c r="AH80" s="57"/>
      <c r="AI80" s="57" t="str">
        <f>IFERROR(VLOOKUP(#REF!,#REF!,3,0),"")</f>
        <v/>
      </c>
    </row>
    <row r="81" spans="2:35">
      <c r="B81" s="42"/>
      <c r="C81" s="39"/>
      <c r="D81" s="39"/>
      <c r="E81" s="39"/>
      <c r="F81" s="39"/>
      <c r="G81" s="39"/>
      <c r="H81" s="39"/>
      <c r="I81" s="56" t="str">
        <f>IFERROR(VLOOKUP(#REF!,#REF!,3,0),"")</f>
        <v/>
      </c>
      <c r="J81" s="57" t="str">
        <f>IFERROR(VLOOKUP(#REF!,#REF!,3,0),"")</f>
        <v/>
      </c>
      <c r="K81" s="57" t="str">
        <f>IFERROR(VLOOKUP(#REF!,#REF!,3,0),"")</f>
        <v/>
      </c>
      <c r="L81" s="57" t="str">
        <f>IFERROR(VLOOKUP(#REF!,#REF!,3,0),"")</f>
        <v/>
      </c>
      <c r="M81" s="57" t="str">
        <f>IFERROR(VLOOKUP(#REF!,#REF!,3,0),"")</f>
        <v/>
      </c>
      <c r="N81" s="57" t="str">
        <f>IFERROR(VLOOKUP(#REF!,#REF!,3,0),"")</f>
        <v/>
      </c>
      <c r="O81" s="57" t="str">
        <f>IFERROR(VLOOKUP(#REF!,#REF!,3,0),"")</f>
        <v/>
      </c>
      <c r="P81" s="57" t="str">
        <f>IFERROR(VLOOKUP(#REF!,#REF!,3,0),"")</f>
        <v/>
      </c>
      <c r="Q81" s="57" t="str">
        <f>IFERROR(VLOOKUP(#REF!,#REF!,3,0),"")</f>
        <v/>
      </c>
      <c r="R81" s="57" t="str">
        <f>IFERROR(VLOOKUP(#REF!,#REF!,3,0),"")</f>
        <v/>
      </c>
      <c r="S81" s="57" t="str">
        <f>IFERROR(VLOOKUP(#REF!,#REF!,3,0),"")</f>
        <v/>
      </c>
      <c r="T81" s="57" t="str">
        <f>IFERROR(VLOOKUP(#REF!,#REF!,3,0),"")</f>
        <v/>
      </c>
      <c r="U81" s="57" t="str">
        <f>IFERROR(VLOOKUP(#REF!,#REF!,3,0),"")</f>
        <v/>
      </c>
      <c r="V81" s="57" t="str">
        <f>IFERROR(VLOOKUP(#REF!,#REF!,3,0),"")</f>
        <v/>
      </c>
      <c r="W81" s="57" t="str">
        <f>IFERROR(VLOOKUP(#REF!,#REF!,3,0),"")</f>
        <v/>
      </c>
      <c r="X81" s="57" t="str">
        <f>IFERROR(VLOOKUP(#REF!,#REF!,3,0),"")</f>
        <v/>
      </c>
      <c r="Y81" s="57" t="str">
        <f>IFERROR(VLOOKUP(#REF!,#REF!,3,0),"")</f>
        <v/>
      </c>
      <c r="Z81" s="57" t="str">
        <f>IFERROR(VLOOKUP(#REF!,#REF!,3,0),"")</f>
        <v/>
      </c>
      <c r="AA81" s="57"/>
      <c r="AB81" s="57"/>
      <c r="AC81" s="57"/>
      <c r="AD81" s="57"/>
      <c r="AE81" s="57"/>
      <c r="AF81" s="57"/>
      <c r="AG81" s="57" t="str">
        <f>IFERROR(VLOOKUP(#REF!,#REF!,3,0),"")</f>
        <v/>
      </c>
      <c r="AH81" s="57"/>
      <c r="AI81" s="57" t="str">
        <f>IFERROR(VLOOKUP(#REF!,#REF!,3,0),"")</f>
        <v/>
      </c>
    </row>
    <row r="82" spans="2:35">
      <c r="B82" s="42"/>
      <c r="C82" s="44"/>
      <c r="D82" s="44"/>
      <c r="E82" s="44"/>
      <c r="F82" s="44"/>
      <c r="G82" s="44"/>
      <c r="H82" s="44"/>
      <c r="I82" s="59" t="str">
        <f>IFERROR(VLOOKUP(#REF!,#REF!,3,0),"")</f>
        <v/>
      </c>
      <c r="J82" s="60" t="str">
        <f>IFERROR(VLOOKUP(#REF!,#REF!,3,0),"")</f>
        <v/>
      </c>
      <c r="K82" s="60" t="str">
        <f>IFERROR(VLOOKUP(#REF!,#REF!,3,0),"")</f>
        <v/>
      </c>
      <c r="L82" s="60" t="str">
        <f>IFERROR(VLOOKUP(#REF!,#REF!,3,0),"")</f>
        <v/>
      </c>
      <c r="M82" s="60" t="str">
        <f>IFERROR(VLOOKUP(#REF!,#REF!,3,0),"")</f>
        <v/>
      </c>
      <c r="N82" s="60" t="str">
        <f>IFERROR(VLOOKUP(#REF!,#REF!,3,0),"")</f>
        <v/>
      </c>
      <c r="O82" s="60" t="str">
        <f>IFERROR(VLOOKUP(#REF!,#REF!,3,0),"")</f>
        <v/>
      </c>
      <c r="P82" s="60" t="str">
        <f>IFERROR(VLOOKUP(#REF!,#REF!,3,0),"")</f>
        <v/>
      </c>
      <c r="Q82" s="60" t="str">
        <f>IFERROR(VLOOKUP(#REF!,#REF!,3,0),"")</f>
        <v/>
      </c>
      <c r="R82" s="60" t="str">
        <f>IFERROR(VLOOKUP(#REF!,#REF!,3,0),"")</f>
        <v/>
      </c>
      <c r="S82" s="60" t="str">
        <f>IFERROR(VLOOKUP(#REF!,#REF!,3,0),"")</f>
        <v/>
      </c>
      <c r="T82" s="60" t="str">
        <f>IFERROR(VLOOKUP(#REF!,#REF!,3,0),"")</f>
        <v/>
      </c>
      <c r="U82" s="60" t="str">
        <f>IFERROR(VLOOKUP(#REF!,#REF!,3,0),"")</f>
        <v/>
      </c>
      <c r="V82" s="60" t="str">
        <f>IFERROR(VLOOKUP(#REF!,#REF!,3,0),"")</f>
        <v/>
      </c>
      <c r="W82" s="60" t="str">
        <f>IFERROR(VLOOKUP(#REF!,#REF!,3,0),"")</f>
        <v/>
      </c>
      <c r="X82" s="60" t="str">
        <f>IFERROR(VLOOKUP(#REF!,#REF!,3,0),"")</f>
        <v/>
      </c>
      <c r="Y82" s="60" t="str">
        <f>IFERROR(VLOOKUP(#REF!,#REF!,3,0),"")</f>
        <v/>
      </c>
      <c r="Z82" s="60" t="str">
        <f>IFERROR(VLOOKUP(#REF!,#REF!,3,0),"")</f>
        <v/>
      </c>
      <c r="AA82" s="60"/>
      <c r="AB82" s="60"/>
      <c r="AC82" s="60"/>
      <c r="AD82" s="60"/>
      <c r="AE82" s="60"/>
      <c r="AF82" s="60"/>
      <c r="AG82" s="60" t="str">
        <f>IFERROR(VLOOKUP(#REF!,#REF!,3,0),"")</f>
        <v/>
      </c>
      <c r="AH82" s="60"/>
      <c r="AI82" s="60" t="str">
        <f>IFERROR(VLOOKUP(#REF!,#REF!,3,0),"")</f>
        <v/>
      </c>
    </row>
    <row r="83" spans="2:35">
      <c r="B83" s="42"/>
      <c r="C83" s="43"/>
      <c r="D83" s="43"/>
      <c r="E83" s="43"/>
      <c r="F83" s="43"/>
      <c r="G83" s="43"/>
      <c r="H83" s="43"/>
      <c r="I83" s="61"/>
      <c r="J83" s="57" t="str">
        <f>IFERROR(VLOOKUP(J12,#REF!,3,0),"")</f>
        <v/>
      </c>
      <c r="K83" s="57" t="str">
        <f>IFERROR(VLOOKUP(K12,#REF!,3,0),"")</f>
        <v/>
      </c>
      <c r="L83" s="57" t="str">
        <f>IFERROR(VLOOKUP(L12,#REF!,3,0),"")</f>
        <v/>
      </c>
      <c r="M83" s="57" t="str">
        <f>IFERROR(VLOOKUP(M12,#REF!,3,0),"")</f>
        <v/>
      </c>
      <c r="N83" s="57" t="str">
        <f>IFERROR(VLOOKUP(N12,#REF!,3,0),"")</f>
        <v/>
      </c>
      <c r="O83" s="57" t="str">
        <f>IFERROR(VLOOKUP(O12,#REF!,3,0),"")</f>
        <v/>
      </c>
      <c r="P83" s="57" t="str">
        <f>IFERROR(VLOOKUP(P12,#REF!,3,0),"")</f>
        <v/>
      </c>
      <c r="Q83" s="57" t="str">
        <f>IFERROR(VLOOKUP(Q12,#REF!,3,0),"")</f>
        <v/>
      </c>
      <c r="R83" s="57" t="str">
        <f>IFERROR(VLOOKUP(R12,#REF!,3,0),"")</f>
        <v/>
      </c>
      <c r="S83" s="57" t="str">
        <f>IFERROR(VLOOKUP(S12,#REF!,3,0),"")</f>
        <v/>
      </c>
      <c r="T83" s="57" t="str">
        <f>IFERROR(VLOOKUP(T12,#REF!,3,0),"")</f>
        <v/>
      </c>
      <c r="U83" s="57" t="str">
        <f>IFERROR(VLOOKUP(U12,#REF!,3,0),"")</f>
        <v/>
      </c>
      <c r="V83" s="57" t="str">
        <f>IFERROR(VLOOKUP(V12,#REF!,3,0),"")</f>
        <v/>
      </c>
      <c r="W83" s="57" t="str">
        <f>IFERROR(VLOOKUP(W12,#REF!,3,0),"")</f>
        <v/>
      </c>
      <c r="X83" s="57" t="str">
        <f>IFERROR(VLOOKUP(X12,#REF!,3,0),"")</f>
        <v/>
      </c>
      <c r="Y83" s="57" t="str">
        <f>IFERROR(VLOOKUP(Y12,#REF!,3,0),"")</f>
        <v/>
      </c>
      <c r="Z83" s="57" t="str">
        <f>IFERROR(VLOOKUP(Z12,#REF!,3,0),"")</f>
        <v/>
      </c>
      <c r="AA83" s="57"/>
      <c r="AB83" s="57"/>
      <c r="AC83" s="57"/>
      <c r="AD83" s="57"/>
      <c r="AE83" s="57"/>
      <c r="AF83" s="57"/>
      <c r="AG83" s="57" t="str">
        <f>IFERROR(VLOOKUP(AG12,#REF!,3,0),"")</f>
        <v/>
      </c>
      <c r="AH83" s="57"/>
      <c r="AI83" s="57" t="str">
        <f>IFERROR(VLOOKUP(AI12,#REF!,3,0),"")</f>
        <v/>
      </c>
    </row>
    <row r="84" spans="2:35">
      <c r="B84" s="42"/>
      <c r="C84" s="43"/>
      <c r="D84" s="43"/>
      <c r="E84" s="43"/>
      <c r="F84" s="43"/>
      <c r="G84" s="43"/>
      <c r="H84" s="43"/>
      <c r="I84" s="61"/>
      <c r="J84" s="57" t="str">
        <f>IFERROR(VLOOKUP(J13,#REF!,3,0),"")</f>
        <v/>
      </c>
      <c r="K84" s="57" t="str">
        <f>IFERROR(VLOOKUP(K13,#REF!,3,0),"")</f>
        <v/>
      </c>
      <c r="L84" s="57" t="str">
        <f>IFERROR(VLOOKUP(L13,#REF!,3,0),"")</f>
        <v/>
      </c>
      <c r="M84" s="57" t="str">
        <f>IFERROR(VLOOKUP(M13,#REF!,3,0),"")</f>
        <v/>
      </c>
      <c r="N84" s="57" t="str">
        <f>IFERROR(VLOOKUP(N13,#REF!,3,0),"")</f>
        <v/>
      </c>
      <c r="O84" s="57" t="str">
        <f>IFERROR(VLOOKUP(O13,#REF!,3,0),"")</f>
        <v/>
      </c>
      <c r="P84" s="57" t="str">
        <f>IFERROR(VLOOKUP(P13,#REF!,3,0),"")</f>
        <v/>
      </c>
      <c r="Q84" s="57" t="str">
        <f>IFERROR(VLOOKUP(Q13,#REF!,3,0),"")</f>
        <v/>
      </c>
      <c r="R84" s="57" t="str">
        <f>IFERROR(VLOOKUP(R13,#REF!,3,0),"")</f>
        <v/>
      </c>
      <c r="S84" s="57" t="str">
        <f>IFERROR(VLOOKUP(S13,#REF!,3,0),"")</f>
        <v/>
      </c>
      <c r="T84" s="57" t="str">
        <f>IFERROR(VLOOKUP(T13,#REF!,3,0),"")</f>
        <v/>
      </c>
      <c r="U84" s="57" t="str">
        <f>IFERROR(VLOOKUP(U13,#REF!,3,0),"")</f>
        <v/>
      </c>
      <c r="V84" s="57" t="str">
        <f>IFERROR(VLOOKUP(V13,#REF!,3,0),"")</f>
        <v/>
      </c>
      <c r="W84" s="57" t="str">
        <f>IFERROR(VLOOKUP(W13,#REF!,3,0),"")</f>
        <v/>
      </c>
      <c r="X84" s="57" t="str">
        <f>IFERROR(VLOOKUP(X13,#REF!,3,0),"")</f>
        <v/>
      </c>
      <c r="Y84" s="57" t="str">
        <f>IFERROR(VLOOKUP(Y13,#REF!,3,0),"")</f>
        <v/>
      </c>
      <c r="Z84" s="57" t="str">
        <f>IFERROR(VLOOKUP(#REF!,#REF!,3,0),"")</f>
        <v/>
      </c>
      <c r="AA84" s="57"/>
      <c r="AB84" s="57"/>
      <c r="AC84" s="57"/>
      <c r="AD84" s="57"/>
      <c r="AE84" s="57"/>
      <c r="AF84" s="57"/>
      <c r="AG84" s="57" t="str">
        <f>IFERROR(VLOOKUP(#REF!,#REF!,3,0),"")</f>
        <v/>
      </c>
      <c r="AH84" s="57"/>
      <c r="AI84" s="57" t="str">
        <f>IFERROR(VLOOKUP(#REF!,#REF!,3,0),"")</f>
        <v/>
      </c>
    </row>
    <row r="85" spans="2:35">
      <c r="B85" s="48"/>
      <c r="C85" s="49"/>
      <c r="D85" s="49"/>
      <c r="E85" s="49"/>
      <c r="F85" s="49"/>
      <c r="G85" s="49"/>
      <c r="H85" s="49"/>
      <c r="I85" s="61"/>
      <c r="J85" s="57" t="str">
        <f>IFERROR(VLOOKUP(J13,#REF!,3,0),"")</f>
        <v/>
      </c>
      <c r="K85" s="57" t="str">
        <f>IFERROR(VLOOKUP(K13,#REF!,3,0),"")</f>
        <v/>
      </c>
      <c r="L85" s="57" t="str">
        <f>IFERROR(VLOOKUP(L13,#REF!,3,0),"")</f>
        <v/>
      </c>
      <c r="M85" s="57" t="str">
        <f>IFERROR(VLOOKUP(M13,#REF!,3,0),"")</f>
        <v/>
      </c>
      <c r="N85" s="57" t="str">
        <f>IFERROR(VLOOKUP(N13,#REF!,3,0),"")</f>
        <v/>
      </c>
      <c r="O85" s="57" t="str">
        <f>IFERROR(VLOOKUP(O13,#REF!,3,0),"")</f>
        <v/>
      </c>
      <c r="P85" s="57" t="str">
        <f>IFERROR(VLOOKUP(P13,#REF!,3,0),"")</f>
        <v/>
      </c>
      <c r="Q85" s="57" t="str">
        <f>IFERROR(VLOOKUP(Q13,#REF!,3,0),"")</f>
        <v/>
      </c>
      <c r="R85" s="57" t="str">
        <f>IFERROR(VLOOKUP(R13,#REF!,3,0),"")</f>
        <v/>
      </c>
      <c r="S85" s="57" t="str">
        <f>IFERROR(VLOOKUP(S13,#REF!,3,0),"")</f>
        <v/>
      </c>
      <c r="T85" s="57" t="str">
        <f>IFERROR(VLOOKUP(T13,#REF!,3,0),"")</f>
        <v/>
      </c>
      <c r="U85" s="57" t="str">
        <f>IFERROR(VLOOKUP(U13,#REF!,3,0),"")</f>
        <v/>
      </c>
      <c r="V85" s="57" t="str">
        <f>IFERROR(VLOOKUP(V13,#REF!,3,0),"")</f>
        <v/>
      </c>
      <c r="W85" s="57" t="str">
        <f>IFERROR(VLOOKUP(W13,#REF!,3,0),"")</f>
        <v/>
      </c>
      <c r="X85" s="57" t="str">
        <f>IFERROR(VLOOKUP(X13,#REF!,3,0),"")</f>
        <v/>
      </c>
      <c r="Y85" s="57" t="str">
        <f>IFERROR(VLOOKUP(Y13,#REF!,3,0),"")</f>
        <v/>
      </c>
      <c r="Z85" s="57" t="str">
        <f>IFERROR(VLOOKUP(Z13,#REF!,3,0),"")</f>
        <v/>
      </c>
      <c r="AA85" s="57"/>
      <c r="AB85" s="57"/>
      <c r="AC85" s="57"/>
      <c r="AD85" s="57"/>
      <c r="AE85" s="57"/>
      <c r="AF85" s="57"/>
      <c r="AG85" s="57" t="str">
        <f>IFERROR(VLOOKUP(AG13,#REF!,3,0),"")</f>
        <v/>
      </c>
      <c r="AH85" s="57"/>
      <c r="AI85" s="57" t="str">
        <f>IFERROR(VLOOKUP(AI13,#REF!,3,0),"")</f>
        <v/>
      </c>
    </row>
    <row r="86" spans="2:35">
      <c r="B86" s="23"/>
      <c r="C86" s="23"/>
      <c r="D86" s="23"/>
      <c r="E86" s="23"/>
      <c r="F86" s="23"/>
      <c r="G86" s="23"/>
      <c r="H86" s="23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</row>
    <row r="87" spans="2:35">
      <c r="B87" s="23"/>
      <c r="C87" s="23"/>
      <c r="D87" s="23"/>
      <c r="E87" s="23"/>
      <c r="F87" s="23"/>
      <c r="G87" s="23"/>
      <c r="H87" s="23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</row>
    <row r="88" spans="2:35">
      <c r="B88" s="23"/>
      <c r="C88" s="23"/>
      <c r="D88" s="23"/>
      <c r="E88" s="23"/>
      <c r="F88" s="23"/>
      <c r="G88" s="23"/>
      <c r="H88" s="23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</row>
    <row r="89" spans="2:35">
      <c r="B89" s="23"/>
      <c r="C89" s="23"/>
      <c r="D89" s="23"/>
      <c r="E89" s="23"/>
      <c r="F89" s="23"/>
      <c r="G89" s="23"/>
      <c r="H89" s="23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</row>
    <row r="90" spans="2:35">
      <c r="B90" s="23"/>
      <c r="C90" s="23"/>
      <c r="D90" s="23"/>
      <c r="E90" s="23"/>
      <c r="F90" s="23"/>
      <c r="G90" s="23"/>
      <c r="H90" s="23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</row>
    <row r="91" spans="2:35">
      <c r="B91" s="23"/>
      <c r="C91" s="23"/>
      <c r="D91" s="23"/>
      <c r="E91" s="23"/>
      <c r="F91" s="23"/>
      <c r="G91" s="23"/>
      <c r="H91" s="23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</row>
    <row r="92" spans="2:35">
      <c r="B92" s="23"/>
      <c r="C92" s="23"/>
      <c r="D92" s="23"/>
      <c r="E92" s="23"/>
      <c r="F92" s="23"/>
      <c r="G92" s="23"/>
      <c r="H92" s="23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</row>
    <row r="93" spans="2:35">
      <c r="B93" s="23"/>
      <c r="C93" s="23"/>
      <c r="D93" s="23"/>
      <c r="E93" s="23"/>
      <c r="F93" s="23"/>
      <c r="G93" s="23"/>
      <c r="H93" s="23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</row>
    <row r="94" spans="2:35">
      <c r="B94" s="23"/>
      <c r="C94" s="23"/>
      <c r="D94" s="23"/>
      <c r="E94" s="23"/>
      <c r="F94" s="23"/>
      <c r="G94" s="23"/>
      <c r="H94" s="23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</row>
    <row r="95" spans="2:35">
      <c r="B95" s="23"/>
      <c r="C95" s="23"/>
      <c r="D95" s="23"/>
      <c r="E95" s="23"/>
      <c r="F95" s="23"/>
      <c r="G95" s="23"/>
      <c r="H95" s="23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</row>
    <row r="96" spans="2:35">
      <c r="B96" s="23"/>
      <c r="C96" s="23"/>
      <c r="D96" s="23"/>
      <c r="E96" s="23"/>
      <c r="F96" s="23"/>
      <c r="G96" s="23"/>
      <c r="H96" s="23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</row>
    <row r="97" spans="2:35">
      <c r="B97" s="23"/>
      <c r="C97" s="23"/>
      <c r="D97" s="23"/>
      <c r="E97" s="23"/>
      <c r="F97" s="23"/>
      <c r="G97" s="23"/>
      <c r="H97" s="23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</row>
    <row r="98" spans="2:35">
      <c r="B98" s="23"/>
      <c r="C98" s="23"/>
      <c r="D98" s="23"/>
      <c r="E98" s="23"/>
      <c r="F98" s="23"/>
      <c r="G98" s="23"/>
      <c r="H98" s="23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</row>
    <row r="99" spans="2:35">
      <c r="B99" s="23"/>
      <c r="C99" s="23"/>
      <c r="D99" s="23"/>
      <c r="E99" s="23"/>
      <c r="F99" s="23"/>
      <c r="G99" s="23"/>
      <c r="H99" s="23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</row>
    <row r="100" spans="2:35">
      <c r="B100" s="23"/>
      <c r="C100" s="23"/>
      <c r="D100" s="23"/>
      <c r="E100" s="23"/>
      <c r="F100" s="23"/>
      <c r="G100" s="23"/>
      <c r="H100" s="23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</row>
    <row r="101" spans="2:35">
      <c r="B101" s="23"/>
      <c r="C101" s="23"/>
      <c r="D101" s="23"/>
      <c r="E101" s="23"/>
      <c r="F101" s="23"/>
      <c r="G101" s="23"/>
      <c r="H101" s="23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</row>
    <row r="102" spans="2:35">
      <c r="B102" s="23"/>
      <c r="C102" s="23"/>
      <c r="D102" s="23"/>
      <c r="E102" s="23"/>
      <c r="F102" s="23"/>
      <c r="G102" s="23"/>
      <c r="H102" s="23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</row>
    <row r="103" spans="2:35">
      <c r="B103" s="23"/>
      <c r="C103" s="23"/>
      <c r="D103" s="23"/>
      <c r="E103" s="23"/>
      <c r="F103" s="23"/>
      <c r="G103" s="23"/>
      <c r="H103" s="23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</row>
    <row r="104" spans="2:35">
      <c r="B104" s="23"/>
      <c r="C104" s="23"/>
      <c r="D104" s="23"/>
      <c r="E104" s="23"/>
      <c r="F104" s="23"/>
      <c r="G104" s="23"/>
      <c r="H104" s="23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</row>
    <row r="105" spans="2:35">
      <c r="B105" s="23"/>
      <c r="C105" s="23"/>
      <c r="D105" s="23"/>
      <c r="E105" s="23"/>
      <c r="F105" s="23"/>
      <c r="G105" s="23"/>
      <c r="H105" s="23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</row>
    <row r="106" spans="2:35">
      <c r="B106" s="23"/>
      <c r="C106" s="23"/>
      <c r="D106" s="23"/>
      <c r="E106" s="23"/>
      <c r="F106" s="23"/>
      <c r="G106" s="23"/>
      <c r="H106" s="23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</row>
    <row r="107" spans="2:35">
      <c r="B107" s="23"/>
      <c r="C107" s="23"/>
      <c r="D107" s="23"/>
      <c r="E107" s="23"/>
      <c r="F107" s="23"/>
      <c r="G107" s="23"/>
      <c r="H107" s="23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</row>
    <row r="108" spans="2:35">
      <c r="B108" s="23"/>
      <c r="C108" s="23"/>
      <c r="D108" s="23"/>
      <c r="E108" s="23"/>
      <c r="F108" s="23"/>
      <c r="G108" s="23"/>
      <c r="H108" s="23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</row>
    <row r="109" spans="2:35">
      <c r="B109" s="23"/>
      <c r="C109" s="23"/>
      <c r="D109" s="23"/>
      <c r="E109" s="23"/>
      <c r="F109" s="23"/>
      <c r="G109" s="23"/>
      <c r="H109" s="23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</row>
    <row r="110" spans="2:35">
      <c r="B110" s="23"/>
      <c r="C110" s="23"/>
      <c r="D110" s="23"/>
      <c r="E110" s="23"/>
      <c r="F110" s="23"/>
      <c r="G110" s="23"/>
      <c r="H110" s="23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</row>
    <row r="111" spans="2:35">
      <c r="B111" s="23"/>
      <c r="C111" s="23"/>
      <c r="D111" s="23"/>
      <c r="E111" s="23"/>
      <c r="F111" s="23"/>
      <c r="G111" s="23"/>
      <c r="H111" s="23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</row>
    <row r="112" spans="2:35">
      <c r="B112" s="23"/>
      <c r="C112" s="23"/>
      <c r="D112" s="23"/>
      <c r="E112" s="23"/>
      <c r="F112" s="23"/>
      <c r="G112" s="23"/>
      <c r="H112" s="23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</row>
    <row r="113" spans="2:35">
      <c r="B113" s="23"/>
      <c r="C113" s="23"/>
      <c r="D113" s="23"/>
      <c r="E113" s="23"/>
      <c r="F113" s="23"/>
      <c r="G113" s="23"/>
      <c r="H113" s="23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</row>
    <row r="114" spans="2:35">
      <c r="B114" s="23"/>
      <c r="C114" s="23"/>
      <c r="D114" s="23"/>
      <c r="E114" s="23"/>
      <c r="F114" s="23"/>
      <c r="G114" s="23"/>
      <c r="H114" s="23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</row>
    <row r="115" spans="2:35">
      <c r="B115" s="23"/>
      <c r="C115" s="23"/>
      <c r="D115" s="23"/>
      <c r="E115" s="23"/>
      <c r="F115" s="23"/>
      <c r="G115" s="23"/>
      <c r="H115" s="23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</row>
    <row r="116" spans="2:35">
      <c r="B116" s="23"/>
      <c r="C116" s="23"/>
      <c r="D116" s="23"/>
      <c r="E116" s="23"/>
      <c r="F116" s="23"/>
      <c r="G116" s="23"/>
      <c r="H116" s="23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</row>
    <row r="117" spans="2:35">
      <c r="B117" s="23"/>
      <c r="C117" s="23"/>
      <c r="D117" s="23"/>
      <c r="E117" s="23"/>
      <c r="F117" s="23"/>
      <c r="G117" s="23"/>
      <c r="H117" s="23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</row>
    <row r="118" spans="2:35">
      <c r="B118" s="23"/>
      <c r="C118" s="23"/>
      <c r="D118" s="23"/>
      <c r="E118" s="23"/>
      <c r="F118" s="23"/>
      <c r="G118" s="23"/>
      <c r="H118" s="23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</row>
    <row r="119" spans="2:35">
      <c r="B119" s="23"/>
      <c r="C119" s="23"/>
      <c r="D119" s="23"/>
      <c r="E119" s="23"/>
      <c r="F119" s="23"/>
      <c r="G119" s="23"/>
      <c r="H119" s="23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</row>
    <row r="120" spans="2:35">
      <c r="B120" s="23"/>
      <c r="C120" s="23"/>
      <c r="D120" s="23"/>
      <c r="E120" s="23"/>
      <c r="F120" s="23"/>
      <c r="G120" s="23"/>
      <c r="H120" s="23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</row>
    <row r="121" spans="2:35">
      <c r="B121" s="23"/>
      <c r="C121" s="23"/>
      <c r="D121" s="23"/>
      <c r="E121" s="23"/>
      <c r="F121" s="23"/>
      <c r="G121" s="23"/>
      <c r="H121" s="23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</row>
    <row r="122" spans="2:35">
      <c r="B122" s="23"/>
      <c r="C122" s="23"/>
      <c r="D122" s="23"/>
      <c r="E122" s="23"/>
      <c r="F122" s="23"/>
      <c r="G122" s="23"/>
      <c r="H122" s="23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</row>
    <row r="123" spans="2:35">
      <c r="B123" s="23"/>
      <c r="C123" s="23"/>
      <c r="D123" s="23"/>
      <c r="E123" s="23"/>
      <c r="F123" s="23"/>
      <c r="G123" s="23"/>
      <c r="H123" s="23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</row>
    <row r="124" spans="2:35">
      <c r="B124" s="23"/>
      <c r="C124" s="23"/>
      <c r="D124" s="23"/>
      <c r="E124" s="23"/>
      <c r="F124" s="23"/>
      <c r="G124" s="23"/>
      <c r="H124" s="23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</row>
    <row r="125" spans="2:35">
      <c r="B125" s="23"/>
      <c r="C125" s="23"/>
      <c r="D125" s="23"/>
      <c r="E125" s="23"/>
      <c r="F125" s="23"/>
      <c r="G125" s="23"/>
      <c r="H125" s="23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</row>
    <row r="126" spans="2:35">
      <c r="B126" s="23"/>
      <c r="C126" s="23"/>
      <c r="D126" s="23"/>
      <c r="E126" s="23"/>
      <c r="F126" s="23"/>
      <c r="G126" s="23"/>
      <c r="H126" s="23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</row>
    <row r="127" spans="2:35">
      <c r="B127" s="23"/>
      <c r="C127" s="23"/>
      <c r="D127" s="23"/>
      <c r="E127" s="23"/>
      <c r="F127" s="23"/>
      <c r="G127" s="23"/>
      <c r="H127" s="23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</row>
    <row r="128" spans="2:35">
      <c r="B128" s="23"/>
      <c r="C128" s="23"/>
      <c r="D128" s="23"/>
      <c r="E128" s="23"/>
      <c r="F128" s="23"/>
      <c r="G128" s="23"/>
      <c r="H128" s="23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</row>
    <row r="129" spans="2:35">
      <c r="B129" s="23"/>
      <c r="C129" s="23"/>
      <c r="D129" s="23"/>
      <c r="E129" s="23"/>
      <c r="F129" s="23"/>
      <c r="G129" s="23"/>
      <c r="H129" s="23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</row>
    <row r="130" spans="2:35">
      <c r="B130" s="23"/>
      <c r="C130" s="23"/>
      <c r="D130" s="23"/>
      <c r="E130" s="23"/>
      <c r="F130" s="23"/>
      <c r="G130" s="23"/>
      <c r="H130" s="23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</row>
    <row r="131" spans="2:35">
      <c r="B131" s="23"/>
      <c r="C131" s="23"/>
      <c r="D131" s="23"/>
      <c r="E131" s="23"/>
      <c r="F131" s="23"/>
      <c r="G131" s="23"/>
      <c r="H131" s="23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</row>
    <row r="132" spans="2:35">
      <c r="B132" s="23"/>
      <c r="C132" s="23"/>
      <c r="D132" s="23"/>
      <c r="E132" s="23"/>
      <c r="F132" s="23"/>
      <c r="G132" s="23"/>
      <c r="H132" s="23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</row>
    <row r="133" spans="2:35">
      <c r="B133" s="23"/>
      <c r="C133" s="23"/>
      <c r="D133" s="23"/>
      <c r="E133" s="23"/>
      <c r="F133" s="23"/>
      <c r="G133" s="23"/>
      <c r="H133" s="23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</row>
    <row r="134" spans="2:35">
      <c r="B134" s="23"/>
      <c r="C134" s="23"/>
      <c r="D134" s="23"/>
      <c r="E134" s="23"/>
      <c r="F134" s="23"/>
      <c r="G134" s="23"/>
      <c r="H134" s="23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</row>
    <row r="135" spans="2:35">
      <c r="B135" s="23"/>
      <c r="C135" s="23"/>
      <c r="D135" s="23"/>
      <c r="E135" s="23"/>
      <c r="F135" s="23"/>
      <c r="G135" s="23"/>
      <c r="H135" s="23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</row>
    <row r="136" spans="2:35">
      <c r="B136" s="23"/>
      <c r="C136" s="23"/>
      <c r="D136" s="23"/>
      <c r="E136" s="23"/>
      <c r="F136" s="23"/>
      <c r="G136" s="23"/>
      <c r="H136" s="23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</row>
    <row r="137" spans="2:35">
      <c r="B137" s="23"/>
      <c r="C137" s="23"/>
      <c r="D137" s="23"/>
      <c r="E137" s="23"/>
      <c r="F137" s="23"/>
      <c r="G137" s="23"/>
      <c r="H137" s="23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</row>
    <row r="138" spans="2:35">
      <c r="B138" s="23"/>
      <c r="C138" s="23"/>
      <c r="D138" s="23"/>
      <c r="E138" s="23"/>
      <c r="F138" s="23"/>
      <c r="G138" s="23"/>
      <c r="H138" s="23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</row>
    <row r="139" spans="2:35">
      <c r="B139" s="23"/>
      <c r="C139" s="23"/>
      <c r="D139" s="23"/>
      <c r="E139" s="23"/>
      <c r="F139" s="23"/>
      <c r="G139" s="23"/>
      <c r="H139" s="23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</row>
    <row r="140" spans="2:35">
      <c r="B140" s="23"/>
      <c r="C140" s="23"/>
      <c r="D140" s="23"/>
      <c r="E140" s="23"/>
      <c r="F140" s="23"/>
      <c r="G140" s="23"/>
      <c r="H140" s="23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</row>
    <row r="141" spans="2:35">
      <c r="B141" s="23"/>
      <c r="C141" s="23"/>
      <c r="D141" s="23"/>
      <c r="E141" s="23"/>
      <c r="F141" s="23"/>
      <c r="G141" s="23"/>
      <c r="H141" s="23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</row>
    <row r="142" spans="2:35">
      <c r="B142" s="23"/>
      <c r="C142" s="23"/>
      <c r="D142" s="23"/>
      <c r="E142" s="23"/>
      <c r="F142" s="23"/>
      <c r="G142" s="23"/>
      <c r="H142" s="23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</row>
    <row r="143" spans="2:35">
      <c r="B143" s="23"/>
      <c r="C143" s="23"/>
      <c r="D143" s="23"/>
      <c r="E143" s="23"/>
      <c r="F143" s="23"/>
      <c r="G143" s="23"/>
      <c r="H143" s="23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</row>
    <row r="144" spans="2:35">
      <c r="B144" s="23"/>
      <c r="C144" s="23"/>
      <c r="D144" s="23"/>
      <c r="E144" s="23"/>
      <c r="F144" s="23"/>
      <c r="G144" s="23"/>
      <c r="H144" s="23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</row>
    <row r="145" spans="2:35">
      <c r="B145" s="23"/>
      <c r="C145" s="23"/>
      <c r="D145" s="23"/>
      <c r="E145" s="23"/>
      <c r="F145" s="23"/>
      <c r="G145" s="23"/>
      <c r="H145" s="23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</row>
    <row r="146" spans="2:35">
      <c r="B146" s="23"/>
      <c r="C146" s="23"/>
      <c r="D146" s="23"/>
      <c r="E146" s="23"/>
      <c r="F146" s="23"/>
      <c r="G146" s="23"/>
      <c r="H146" s="23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</row>
    <row r="147" spans="2:35">
      <c r="B147" s="23"/>
      <c r="C147" s="23"/>
      <c r="D147" s="23"/>
      <c r="E147" s="23"/>
      <c r="F147" s="23"/>
      <c r="G147" s="23"/>
      <c r="H147" s="23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</row>
    <row r="148" spans="2:35">
      <c r="B148" s="23"/>
      <c r="C148" s="23"/>
      <c r="D148" s="23"/>
      <c r="E148" s="23"/>
      <c r="F148" s="23"/>
      <c r="G148" s="23"/>
      <c r="H148" s="23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</row>
    <row r="149" spans="2:35">
      <c r="B149" s="23"/>
      <c r="C149" s="23"/>
      <c r="D149" s="23"/>
      <c r="E149" s="23"/>
      <c r="F149" s="23"/>
      <c r="G149" s="23"/>
      <c r="H149" s="23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</row>
    <row r="150" spans="2:35">
      <c r="B150" s="23"/>
      <c r="C150" s="23"/>
      <c r="D150" s="23"/>
      <c r="E150" s="23"/>
      <c r="F150" s="23"/>
      <c r="G150" s="23"/>
      <c r="H150" s="23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</row>
    <row r="151" spans="2:35">
      <c r="B151" s="23"/>
      <c r="C151" s="23"/>
      <c r="D151" s="23"/>
      <c r="E151" s="23"/>
      <c r="F151" s="23"/>
      <c r="G151" s="23"/>
      <c r="H151" s="23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</row>
    <row r="152" spans="2:35">
      <c r="B152" s="23"/>
      <c r="C152" s="23"/>
      <c r="D152" s="23"/>
      <c r="E152" s="23"/>
      <c r="F152" s="23"/>
      <c r="G152" s="23"/>
      <c r="H152" s="23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</row>
    <row r="153" spans="2:35">
      <c r="B153" s="23"/>
      <c r="C153" s="23"/>
      <c r="D153" s="23"/>
      <c r="E153" s="23"/>
      <c r="F153" s="23"/>
      <c r="G153" s="23"/>
      <c r="H153" s="23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</row>
    <row r="154" spans="2:35">
      <c r="B154" s="23"/>
      <c r="C154" s="23"/>
      <c r="D154" s="23"/>
      <c r="E154" s="23"/>
      <c r="F154" s="23"/>
      <c r="G154" s="23"/>
      <c r="H154" s="23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</row>
    <row r="155" spans="2:35">
      <c r="B155" s="23"/>
      <c r="C155" s="23"/>
      <c r="D155" s="23"/>
      <c r="E155" s="23"/>
      <c r="F155" s="23"/>
      <c r="G155" s="23"/>
      <c r="H155" s="23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</row>
    <row r="156" spans="2:35">
      <c r="B156" s="23"/>
      <c r="C156" s="23"/>
      <c r="D156" s="23"/>
      <c r="E156" s="23"/>
      <c r="F156" s="23"/>
      <c r="G156" s="23"/>
      <c r="H156" s="23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</row>
    <row r="157" spans="2:35">
      <c r="B157" s="23"/>
      <c r="C157" s="23"/>
      <c r="D157" s="23"/>
      <c r="E157" s="23"/>
      <c r="F157" s="23"/>
      <c r="G157" s="23"/>
      <c r="H157" s="23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</row>
    <row r="158" spans="2:35">
      <c r="B158" s="23"/>
      <c r="C158" s="23"/>
      <c r="D158" s="23"/>
      <c r="E158" s="23"/>
      <c r="F158" s="23"/>
      <c r="G158" s="23"/>
      <c r="H158" s="23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</row>
    <row r="159" spans="2:35">
      <c r="B159" s="23"/>
      <c r="C159" s="23"/>
      <c r="D159" s="23"/>
      <c r="E159" s="23"/>
      <c r="F159" s="23"/>
      <c r="G159" s="23"/>
      <c r="H159" s="23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</row>
    <row r="160" spans="2:35">
      <c r="B160" s="23"/>
      <c r="C160" s="23"/>
      <c r="D160" s="23"/>
      <c r="E160" s="23"/>
      <c r="F160" s="23"/>
      <c r="G160" s="23"/>
      <c r="H160" s="23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</row>
    <row r="161" spans="2:35">
      <c r="B161" s="23"/>
      <c r="C161" s="23"/>
      <c r="D161" s="23"/>
      <c r="E161" s="23"/>
      <c r="F161" s="23"/>
      <c r="G161" s="23"/>
      <c r="H161" s="23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</row>
    <row r="162" spans="2:35">
      <c r="B162" s="23"/>
      <c r="C162" s="23"/>
      <c r="D162" s="23"/>
      <c r="E162" s="23"/>
      <c r="F162" s="23"/>
      <c r="G162" s="23"/>
      <c r="H162" s="23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</row>
    <row r="163" spans="2:35">
      <c r="B163" s="23"/>
      <c r="C163" s="23"/>
      <c r="D163" s="23"/>
      <c r="E163" s="23"/>
      <c r="F163" s="23"/>
      <c r="G163" s="23"/>
      <c r="H163" s="23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</row>
    <row r="164" spans="2:35">
      <c r="B164" s="23"/>
      <c r="C164" s="23"/>
      <c r="D164" s="23"/>
      <c r="E164" s="23"/>
      <c r="F164" s="23"/>
      <c r="G164" s="23"/>
      <c r="H164" s="23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</row>
    <row r="165" spans="2:35">
      <c r="B165" s="23"/>
      <c r="C165" s="23"/>
      <c r="D165" s="23"/>
      <c r="E165" s="23"/>
      <c r="F165" s="23"/>
      <c r="G165" s="23"/>
      <c r="H165" s="23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</row>
    <row r="166" spans="2:35">
      <c r="B166" s="23"/>
      <c r="C166" s="23"/>
      <c r="D166" s="23"/>
      <c r="E166" s="23"/>
      <c r="F166" s="23"/>
      <c r="G166" s="23"/>
      <c r="H166" s="23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</row>
    <row r="167" spans="2:35">
      <c r="B167" s="23"/>
      <c r="C167" s="23"/>
      <c r="D167" s="23"/>
      <c r="E167" s="23"/>
      <c r="F167" s="23"/>
      <c r="G167" s="23"/>
      <c r="H167" s="23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</row>
    <row r="168" spans="2:35">
      <c r="B168" s="23"/>
      <c r="C168" s="23"/>
      <c r="D168" s="23"/>
      <c r="E168" s="23"/>
      <c r="F168" s="23"/>
      <c r="G168" s="23"/>
      <c r="H168" s="23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</row>
    <row r="169" spans="2:35">
      <c r="B169" s="23"/>
      <c r="C169" s="23"/>
      <c r="D169" s="23"/>
      <c r="E169" s="23"/>
      <c r="F169" s="23"/>
      <c r="G169" s="23"/>
      <c r="H169" s="23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</row>
    <row r="170" spans="2:35">
      <c r="B170" s="23"/>
      <c r="C170" s="23"/>
      <c r="D170" s="23"/>
      <c r="E170" s="23"/>
      <c r="F170" s="23"/>
      <c r="G170" s="23"/>
      <c r="H170" s="23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</row>
    <row r="171" spans="2:35">
      <c r="B171" s="23"/>
      <c r="C171" s="23"/>
      <c r="D171" s="23"/>
      <c r="E171" s="23"/>
      <c r="F171" s="23"/>
      <c r="G171" s="23"/>
      <c r="H171" s="23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</row>
    <row r="172" spans="2:35">
      <c r="B172" s="23"/>
      <c r="C172" s="23"/>
      <c r="D172" s="23"/>
      <c r="E172" s="23"/>
      <c r="F172" s="23"/>
      <c r="G172" s="23"/>
      <c r="H172" s="23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</row>
    <row r="173" spans="2:35">
      <c r="B173" s="23"/>
      <c r="C173" s="23"/>
      <c r="D173" s="23"/>
      <c r="E173" s="23"/>
      <c r="F173" s="23"/>
      <c r="G173" s="23"/>
      <c r="H173" s="23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</row>
    <row r="174" spans="2:35">
      <c r="B174" s="23"/>
      <c r="C174" s="23"/>
      <c r="D174" s="23"/>
      <c r="E174" s="23"/>
      <c r="F174" s="23"/>
      <c r="G174" s="23"/>
      <c r="H174" s="23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</row>
    <row r="175" spans="2:35">
      <c r="B175" s="23"/>
      <c r="C175" s="23"/>
      <c r="D175" s="23"/>
      <c r="E175" s="23"/>
      <c r="F175" s="23"/>
      <c r="G175" s="23"/>
      <c r="H175" s="23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</row>
    <row r="176" spans="2:35">
      <c r="B176" s="23"/>
      <c r="C176" s="23"/>
      <c r="D176" s="23"/>
      <c r="E176" s="23"/>
      <c r="F176" s="23"/>
      <c r="G176" s="23"/>
      <c r="H176" s="23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</row>
    <row r="177" spans="2:35">
      <c r="B177" s="23"/>
      <c r="C177" s="23"/>
      <c r="D177" s="23"/>
      <c r="E177" s="23"/>
      <c r="F177" s="23"/>
      <c r="G177" s="23"/>
      <c r="H177" s="23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</row>
    <row r="178" spans="2:35">
      <c r="B178" s="23"/>
      <c r="C178" s="23"/>
      <c r="D178" s="23"/>
      <c r="E178" s="23"/>
      <c r="F178" s="23"/>
      <c r="G178" s="23"/>
      <c r="H178" s="23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</row>
    <row r="179" spans="2:35">
      <c r="B179" s="23"/>
      <c r="C179" s="23"/>
      <c r="D179" s="23"/>
      <c r="E179" s="23"/>
      <c r="F179" s="23"/>
      <c r="G179" s="23"/>
      <c r="H179" s="23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</row>
    <row r="180" spans="2:35">
      <c r="B180" s="23"/>
      <c r="C180" s="23"/>
      <c r="D180" s="23"/>
      <c r="E180" s="23"/>
      <c r="F180" s="23"/>
      <c r="G180" s="23"/>
      <c r="H180" s="23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</row>
    <row r="181" spans="2:35">
      <c r="B181" s="23"/>
      <c r="C181" s="23"/>
      <c r="D181" s="23"/>
      <c r="E181" s="23"/>
      <c r="F181" s="23"/>
      <c r="G181" s="23"/>
      <c r="H181" s="23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</row>
    <row r="182" spans="2:35">
      <c r="B182" s="23"/>
      <c r="C182" s="23"/>
      <c r="D182" s="23"/>
      <c r="E182" s="23"/>
      <c r="F182" s="23"/>
      <c r="G182" s="23"/>
      <c r="H182" s="23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</row>
    <row r="183" spans="2:35">
      <c r="B183" s="23"/>
      <c r="C183" s="23"/>
      <c r="D183" s="23"/>
      <c r="E183" s="23"/>
      <c r="F183" s="23"/>
      <c r="G183" s="23"/>
      <c r="H183" s="23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</row>
    <row r="184" spans="2:35">
      <c r="B184" s="23"/>
      <c r="C184" s="23"/>
      <c r="D184" s="23"/>
      <c r="E184" s="23"/>
      <c r="F184" s="23"/>
      <c r="G184" s="23"/>
      <c r="H184" s="23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</row>
  </sheetData>
  <conditionalFormatting sqref="I46:R46 I47:J47 L47:R47 I48:R50">
    <cfRule type="containsText" dxfId="142" priority="120" operator="containsText" text="C">
      <formula>NOT(ISERROR(SEARCH("C",I46)))</formula>
    </cfRule>
    <cfRule type="containsText" dxfId="141" priority="122" operator="containsText" text="OFF">
      <formula>NOT(ISERROR(SEARCH("OFF",I46)))</formula>
    </cfRule>
    <cfRule type="containsText" dxfId="140" priority="121" operator="containsText" text="OFF">
      <formula>NOT(ISERROR(SEARCH("OFF",I46)))</formula>
    </cfRule>
    <cfRule type="containsText" dxfId="139" priority="119" operator="containsText" text="MCT">
      <formula>NOT(ISERROR(SEARCH("MCT",I46)))</formula>
    </cfRule>
    <cfRule type="containsText" dxfId="138" priority="118" operator="containsText" text="CT12">
      <formula>NOT(ISERROR(SEARCH("CT12",I46)))</formula>
    </cfRule>
    <cfRule type="containsText" dxfId="137" priority="117" operator="containsText" text="CT16">
      <formula>NOT(ISERROR(SEARCH("CT16",I46)))</formula>
    </cfRule>
    <cfRule type="containsText" dxfId="136" priority="116" operator="containsText" text="F84">
      <formula>NOT(ISERROR(SEARCH("F84",I46)))</formula>
    </cfRule>
    <cfRule type="containsText" dxfId="135" priority="115" operator="containsText" text="WH">
      <formula>NOT(ISERROR(SEARCH("WH",I46)))</formula>
    </cfRule>
    <cfRule type="containsText" dxfId="134" priority="114" operator="containsText" text="TH">
      <formula>NOT(ISERROR(SEARCH("TH",I46)))</formula>
    </cfRule>
    <cfRule type="containsText" dxfId="133" priority="113" operator="containsText" text="F84">
      <formula>NOT(ISERROR(SEARCH("F84",I46)))</formula>
    </cfRule>
  </conditionalFormatting>
  <conditionalFormatting sqref="I46:V46 L47:T47 I48:T49 I50:S50 I47:J47">
    <cfRule type="containsText" dxfId="132" priority="107" operator="containsText" text="WH">
      <formula>NOT(ISERROR(SEARCH("WH",I46)))</formula>
    </cfRule>
    <cfRule type="containsText" dxfId="131" priority="105" operator="containsText" text="TH">
      <formula>NOT(ISERROR(SEARCH("TH",I46)))</formula>
    </cfRule>
  </conditionalFormatting>
  <conditionalFormatting sqref="I38:X45">
    <cfRule type="containsText" dxfId="130" priority="154" operator="containsText" text="D">
      <formula>NOT(ISERROR(SEARCH("D",I38)))</formula>
    </cfRule>
    <cfRule type="containsText" dxfId="129" priority="153" operator="containsText" text="N">
      <formula>NOT(ISERROR(SEARCH("N",I38)))</formula>
    </cfRule>
    <cfRule type="containsText" dxfId="128" priority="152" operator="containsText" text="OFF">
      <formula>NOT(ISERROR(SEARCH("OFF",I38)))</formula>
    </cfRule>
    <cfRule type="containsText" dxfId="127" priority="151" operator="containsText" text="A">
      <formula>NOT(ISERROR(SEARCH("A",I38)))</formula>
    </cfRule>
    <cfRule type="containsText" dxfId="126" priority="150" operator="containsText" text="C">
      <formula>NOT(ISERROR(SEARCH("C",I38)))</formula>
    </cfRule>
    <cfRule type="containsText" dxfId="125" priority="149" operator="containsText" text="I">
      <formula>NOT(ISERROR(SEARCH("I",I38)))</formula>
    </cfRule>
    <cfRule type="containsText" dxfId="124" priority="148" operator="containsText" text="S">
      <formula>NOT(ISERROR(SEARCH("S",I38)))</formula>
    </cfRule>
  </conditionalFormatting>
  <conditionalFormatting sqref="I73:AI85">
    <cfRule type="containsText" dxfId="123" priority="227" operator="containsText" text="N">
      <formula>NOT(ISERROR(SEARCH("N",I73)))</formula>
    </cfRule>
    <cfRule type="containsText" dxfId="122" priority="226" operator="containsText" text="OFF">
      <formula>NOT(ISERROR(SEARCH("OFF",I73)))</formula>
    </cfRule>
    <cfRule type="containsText" dxfId="121" priority="228" operator="containsText" text="C">
      <formula>NOT(ISERROR(SEARCH("C",I73)))</formula>
    </cfRule>
  </conditionalFormatting>
  <conditionalFormatting sqref="I2:AM36 I37:O37 Z38:AM42 Z44:AM44">
    <cfRule type="containsText" dxfId="120" priority="18" operator="containsText" text="A">
      <formula>NOT(ISERROR(SEARCH("A",I2)))</formula>
    </cfRule>
    <cfRule type="containsText" dxfId="119" priority="15" operator="containsText" text="S">
      <formula>NOT(ISERROR(SEARCH("S",I2)))</formula>
    </cfRule>
    <cfRule type="containsText" dxfId="118" priority="16" operator="containsText" text="I">
      <formula>NOT(ISERROR(SEARCH("I",I2)))</formula>
    </cfRule>
    <cfRule type="containsText" dxfId="117" priority="17" operator="containsText" text="C">
      <formula>NOT(ISERROR(SEARCH("C",I2)))</formula>
    </cfRule>
    <cfRule type="containsText" dxfId="116" priority="19" operator="containsText" text="OFF">
      <formula>NOT(ISERROR(SEARCH("OFF",I2)))</formula>
    </cfRule>
    <cfRule type="containsText" dxfId="115" priority="20" operator="containsText" text="N">
      <formula>NOT(ISERROR(SEARCH("N",I2)))</formula>
    </cfRule>
    <cfRule type="containsText" dxfId="114" priority="21" operator="containsText" text="D">
      <formula>NOT(ISERROR(SEARCH("D",I2)))</formula>
    </cfRule>
  </conditionalFormatting>
  <conditionalFormatting sqref="K47">
    <cfRule type="containsText" dxfId="113" priority="2" operator="containsText" text="I">
      <formula>NOT(ISERROR(SEARCH("I",K47)))</formula>
    </cfRule>
    <cfRule type="containsText" dxfId="112" priority="3" operator="containsText" text="C">
      <formula>NOT(ISERROR(SEARCH("C",K47)))</formula>
    </cfRule>
    <cfRule type="containsText" dxfId="111" priority="4" operator="containsText" text="A">
      <formula>NOT(ISERROR(SEARCH("A",K47)))</formula>
    </cfRule>
    <cfRule type="containsText" dxfId="110" priority="5" operator="containsText" text="OFF">
      <formula>NOT(ISERROR(SEARCH("OFF",K47)))</formula>
    </cfRule>
    <cfRule type="containsText" dxfId="109" priority="6" operator="containsText" text="N">
      <formula>NOT(ISERROR(SEARCH("N",K47)))</formula>
    </cfRule>
    <cfRule type="containsText" dxfId="108" priority="7" operator="containsText" text="D">
      <formula>NOT(ISERROR(SEARCH("D",K47)))</formula>
    </cfRule>
    <cfRule type="containsText" dxfId="107" priority="1" operator="containsText" text="S">
      <formula>NOT(ISERROR(SEARCH("S",K47)))</formula>
    </cfRule>
  </conditionalFormatting>
  <conditionalFormatting sqref="P37:AM37">
    <cfRule type="containsText" dxfId="106" priority="185" operator="containsText" text="OFF">
      <formula>NOT(ISERROR(SEARCH("OFF",P37)))</formula>
    </cfRule>
  </conditionalFormatting>
  <conditionalFormatting sqref="Q37:AM37">
    <cfRule type="containsText" dxfId="105" priority="177" operator="containsText" text="TH">
      <formula>NOT(ISERROR(SEARCH("TH",Q37)))</formula>
    </cfRule>
    <cfRule type="containsText" dxfId="104" priority="182" operator="containsText" text="MCT">
      <formula>NOT(ISERROR(SEARCH("MCT",Q37)))</formula>
    </cfRule>
    <cfRule type="containsText" dxfId="103" priority="181" operator="containsText" text="CT12">
      <formula>NOT(ISERROR(SEARCH("CT12",Q37)))</formula>
    </cfRule>
    <cfRule type="containsText" dxfId="102" priority="180" operator="containsText" text="CT16">
      <formula>NOT(ISERROR(SEARCH("CT16",Q37)))</formula>
    </cfRule>
    <cfRule type="containsText" dxfId="101" priority="179" operator="containsText" text="F84">
      <formula>NOT(ISERROR(SEARCH("F84",Q37)))</formula>
    </cfRule>
    <cfRule type="containsText" dxfId="100" priority="178" operator="containsText" text="WH">
      <formula>NOT(ISERROR(SEARCH("WH",Q37)))</formula>
    </cfRule>
    <cfRule type="containsText" dxfId="99" priority="176" operator="containsText" text="F84">
      <formula>NOT(ISERROR(SEARCH("F84",Q37)))</formula>
    </cfRule>
    <cfRule type="containsText" dxfId="98" priority="175" operator="containsText" text="WH">
      <formula>NOT(ISERROR(SEARCH("WH",Q37)))</formula>
    </cfRule>
    <cfRule type="containsText" dxfId="97" priority="174" operator="containsText" text="TH">
      <formula>NOT(ISERROR(SEARCH("TH",Q37)))</formula>
    </cfRule>
    <cfRule type="containsText" dxfId="96" priority="184" operator="containsText" text="OFF">
      <formula>NOT(ISERROR(SEARCH("OFF",Q37)))</formula>
    </cfRule>
    <cfRule type="containsText" dxfId="95" priority="183" operator="containsText" text="C">
      <formula>NOT(ISERROR(SEARCH("C",Q37)))</formula>
    </cfRule>
  </conditionalFormatting>
  <conditionalFormatting sqref="T50:AL50">
    <cfRule type="containsText" dxfId="94" priority="9" operator="containsText" text="I">
      <formula>NOT(ISERROR(SEARCH("I",T50)))</formula>
    </cfRule>
    <cfRule type="containsText" dxfId="93" priority="10" operator="containsText" text="C">
      <formula>NOT(ISERROR(SEARCH("C",T50)))</formula>
    </cfRule>
    <cfRule type="containsText" dxfId="92" priority="11" operator="containsText" text="A">
      <formula>NOT(ISERROR(SEARCH("A",T50)))</formula>
    </cfRule>
    <cfRule type="containsText" dxfId="91" priority="12" operator="containsText" text="OFF">
      <formula>NOT(ISERROR(SEARCH("OFF",T50)))</formula>
    </cfRule>
    <cfRule type="containsText" dxfId="90" priority="13" operator="containsText" text="N">
      <formula>NOT(ISERROR(SEARCH("N",T50)))</formula>
    </cfRule>
    <cfRule type="containsText" dxfId="89" priority="8" operator="containsText" text="S">
      <formula>NOT(ISERROR(SEARCH("S",T50)))</formula>
    </cfRule>
    <cfRule type="containsText" dxfId="88" priority="14" operator="containsText" text="D">
      <formula>NOT(ISERROR(SEARCH("D",T50)))</formula>
    </cfRule>
  </conditionalFormatting>
  <conditionalFormatting sqref="U47:U49">
    <cfRule type="containsText" dxfId="87" priority="135" operator="containsText" text="OFF">
      <formula>NOT(ISERROR(SEARCH("OFF",U47)))</formula>
    </cfRule>
  </conditionalFormatting>
  <conditionalFormatting sqref="U46:V46 S46:T49 S50">
    <cfRule type="containsText" dxfId="86" priority="93" operator="containsText" text="TH">
      <formula>NOT(ISERROR(SEARCH("TH",S46)))</formula>
    </cfRule>
    <cfRule type="containsText" dxfId="85" priority="98" operator="containsText" text="WH">
      <formula>NOT(ISERROR(SEARCH("WH",S46)))</formula>
    </cfRule>
    <cfRule type="containsText" dxfId="84" priority="97" operator="containsText" text="F84">
      <formula>NOT(ISERROR(SEARCH("F84",S46)))</formula>
    </cfRule>
    <cfRule type="containsText" dxfId="83" priority="96" operator="containsText" text="TH">
      <formula>NOT(ISERROR(SEARCH("TH",S46)))</formula>
    </cfRule>
    <cfRule type="containsText" dxfId="82" priority="95" operator="containsText" text="WH">
      <formula>NOT(ISERROR(SEARCH("WH",S46)))</formula>
    </cfRule>
    <cfRule type="containsText" dxfId="81" priority="94" operator="containsText" text="F84">
      <formula>NOT(ISERROR(SEARCH("F84",S46)))</formula>
    </cfRule>
    <cfRule type="containsText" dxfId="80" priority="99" operator="containsText" text="TH">
      <formula>NOT(ISERROR(SEARCH("TH",S46)))</formula>
    </cfRule>
    <cfRule type="containsText" dxfId="79" priority="90" operator="containsText" text="TH">
      <formula>NOT(ISERROR(SEARCH("TH",S46)))</formula>
    </cfRule>
    <cfRule type="containsText" dxfId="78" priority="91" operator="containsText" text="WH">
      <formula>NOT(ISERROR(SEARCH("WH",S46)))</formula>
    </cfRule>
    <cfRule type="containsText" dxfId="77" priority="92" operator="containsText" text="F84">
      <formula>NOT(ISERROR(SEARCH("F84",S46)))</formula>
    </cfRule>
    <cfRule type="containsText" dxfId="76" priority="104" operator="containsText" text="WH">
      <formula>NOT(ISERROR(SEARCH("WH",S46)))</formula>
    </cfRule>
    <cfRule type="containsText" dxfId="75" priority="102" operator="containsText" text="TH">
      <formula>NOT(ISERROR(SEARCH("TH",S46)))</formula>
    </cfRule>
    <cfRule type="containsText" dxfId="74" priority="106" operator="containsText" text="F84">
      <formula>NOT(ISERROR(SEARCH("F84",S46)))</formula>
    </cfRule>
    <cfRule type="containsText" dxfId="73" priority="101" operator="containsText" text="WH">
      <formula>NOT(ISERROR(SEARCH("WH",S46)))</formula>
    </cfRule>
    <cfRule type="containsText" dxfId="72" priority="108" operator="containsText" text="CT16">
      <formula>NOT(ISERROR(SEARCH("CT16",S46)))</formula>
    </cfRule>
    <cfRule type="containsText" dxfId="71" priority="109" operator="containsText" text="CT12">
      <formula>NOT(ISERROR(SEARCH("CT12",S46)))</formula>
    </cfRule>
    <cfRule type="containsText" dxfId="70" priority="110" operator="containsText" text="MCT">
      <formula>NOT(ISERROR(SEARCH("MCT",S46)))</formula>
    </cfRule>
    <cfRule type="containsText" dxfId="69" priority="111" operator="containsText" text="C">
      <formula>NOT(ISERROR(SEARCH("C",S46)))</formula>
    </cfRule>
    <cfRule type="containsText" dxfId="68" priority="112" operator="containsText" text="OFF">
      <formula>NOT(ISERROR(SEARCH("OFF",S46)))</formula>
    </cfRule>
    <cfRule type="containsText" dxfId="67" priority="100" operator="containsText" text="F84">
      <formula>NOT(ISERROR(SEARCH("F84",S46)))</formula>
    </cfRule>
    <cfRule type="containsText" dxfId="66" priority="103" operator="containsText" text="F84">
      <formula>NOT(ISERROR(SEARCH("F84",S46)))</formula>
    </cfRule>
  </conditionalFormatting>
  <conditionalFormatting sqref="AB43:AM43 AM45 AB48">
    <cfRule type="containsText" dxfId="65" priority="81" operator="containsText" text="TH">
      <formula>NOT(ISERROR(SEARCH("TH",AB43)))</formula>
    </cfRule>
    <cfRule type="containsText" dxfId="64" priority="87" operator="containsText" text="C">
      <formula>NOT(ISERROR(SEARCH("C",AB43)))</formula>
    </cfRule>
    <cfRule type="containsText" dxfId="63" priority="89" operator="containsText" text="OFF">
      <formula>NOT(ISERROR(SEARCH("OFF",AB43)))</formula>
    </cfRule>
    <cfRule type="containsText" dxfId="62" priority="78" operator="containsText" text="TH">
      <formula>NOT(ISERROR(SEARCH("TH",AB43)))</formula>
    </cfRule>
    <cfRule type="containsText" dxfId="61" priority="79" operator="containsText" text="WH">
      <formula>NOT(ISERROR(SEARCH("WH",AB43)))</formula>
    </cfRule>
    <cfRule type="containsText" dxfId="60" priority="88" operator="containsText" text="OFF">
      <formula>NOT(ISERROR(SEARCH("OFF",AB43)))</formula>
    </cfRule>
    <cfRule type="containsText" dxfId="59" priority="85" operator="containsText" text="CT12">
      <formula>NOT(ISERROR(SEARCH("CT12",AB43)))</formula>
    </cfRule>
    <cfRule type="containsText" dxfId="58" priority="84" operator="containsText" text="CT16">
      <formula>NOT(ISERROR(SEARCH("CT16",AB43)))</formula>
    </cfRule>
    <cfRule type="containsText" dxfId="57" priority="86" operator="containsText" text="MCT">
      <formula>NOT(ISERROR(SEARCH("MCT",AB43)))</formula>
    </cfRule>
    <cfRule type="containsText" dxfId="56" priority="80" operator="containsText" text="F84">
      <formula>NOT(ISERROR(SEARCH("F84",AB43)))</formula>
    </cfRule>
    <cfRule type="containsText" dxfId="55" priority="83" operator="containsText" text="F84">
      <formula>NOT(ISERROR(SEARCH("F84",AB43)))</formula>
    </cfRule>
    <cfRule type="containsText" dxfId="54" priority="82" operator="containsText" text="WH">
      <formula>NOT(ISERROR(SEARCH("WH",AB43)))</formula>
    </cfRule>
  </conditionalFormatting>
  <conditionalFormatting sqref="AF46">
    <cfRule type="containsText" dxfId="53" priority="35" operator="containsText" text="S">
      <formula>NOT(ISERROR(SEARCH("S",AF46)))</formula>
    </cfRule>
    <cfRule type="containsText" dxfId="52" priority="36" operator="containsText" text="I">
      <formula>NOT(ISERROR(SEARCH("I",AF46)))</formula>
    </cfRule>
    <cfRule type="containsText" dxfId="51" priority="37" operator="containsText" text="C">
      <formula>NOT(ISERROR(SEARCH("C",AF46)))</formula>
    </cfRule>
    <cfRule type="containsText" dxfId="50" priority="38" operator="containsText" text="A">
      <formula>NOT(ISERROR(SEARCH("A",AF46)))</formula>
    </cfRule>
    <cfRule type="containsText" dxfId="49" priority="39" operator="containsText" text="OFF">
      <formula>NOT(ISERROR(SEARCH("OFF",AF46)))</formula>
    </cfRule>
    <cfRule type="containsText" dxfId="48" priority="40" operator="containsText" text="N">
      <formula>NOT(ISERROR(SEARCH("N",AF46)))</formula>
    </cfRule>
    <cfRule type="containsText" dxfId="47" priority="41" operator="containsText" text="D">
      <formula>NOT(ISERROR(SEARCH("D",AF46)))</formula>
    </cfRule>
  </conditionalFormatting>
  <conditionalFormatting sqref="AF49">
    <cfRule type="containsText" dxfId="46" priority="73" operator="containsText" text="CT12">
      <formula>NOT(ISERROR(SEARCH("CT12",AF49)))</formula>
    </cfRule>
    <cfRule type="containsText" dxfId="45" priority="76" operator="containsText" text="OFF">
      <formula>NOT(ISERROR(SEARCH("OFF",AF49)))</formula>
    </cfRule>
    <cfRule type="containsText" dxfId="44" priority="75" operator="containsText" text="C">
      <formula>NOT(ISERROR(SEARCH("C",AF49)))</formula>
    </cfRule>
    <cfRule type="containsText" dxfId="43" priority="74" operator="containsText" text="MCT">
      <formula>NOT(ISERROR(SEARCH("MCT",AF49)))</formula>
    </cfRule>
    <cfRule type="containsText" dxfId="42" priority="72" operator="containsText" text="CT16">
      <formula>NOT(ISERROR(SEARCH("CT16",AF49)))</formula>
    </cfRule>
    <cfRule type="containsText" dxfId="41" priority="71" operator="containsText" text="F84">
      <formula>NOT(ISERROR(SEARCH("F84",AF49)))</formula>
    </cfRule>
    <cfRule type="containsText" dxfId="40" priority="70" operator="containsText" text="WH">
      <formula>NOT(ISERROR(SEARCH("WH",AF49)))</formula>
    </cfRule>
    <cfRule type="containsText" dxfId="39" priority="69" operator="containsText" text="TH">
      <formula>NOT(ISERROR(SEARCH("TH",AF49)))</formula>
    </cfRule>
    <cfRule type="containsText" dxfId="38" priority="68" operator="containsText" text="F84">
      <formula>NOT(ISERROR(SEARCH("F84",AF49)))</formula>
    </cfRule>
    <cfRule type="containsText" dxfId="37" priority="67" operator="containsText" text="WH">
      <formula>NOT(ISERROR(SEARCH("WH",AF49)))</formula>
    </cfRule>
    <cfRule type="containsText" dxfId="36" priority="66" operator="containsText" text="TH">
      <formula>NOT(ISERROR(SEARCH("TH",AF49)))</formula>
    </cfRule>
    <cfRule type="containsText" dxfId="35" priority="77" operator="containsText" text="OFF">
      <formula>NOT(ISERROR(SEARCH("OFF",AF49)))</formula>
    </cfRule>
  </conditionalFormatting>
  <conditionalFormatting sqref="AI46">
    <cfRule type="containsText" dxfId="34" priority="129" operator="containsText" text="CT16">
      <formula>NOT(ISERROR(SEARCH("CT16",AI46)))</formula>
    </cfRule>
    <cfRule type="containsText" dxfId="33" priority="130" operator="containsText" text="CT12">
      <formula>NOT(ISERROR(SEARCH("CT12",AI46)))</formula>
    </cfRule>
    <cfRule type="containsText" dxfId="32" priority="131" operator="containsText" text="MCT">
      <formula>NOT(ISERROR(SEARCH("MCT",AI46)))</formula>
    </cfRule>
    <cfRule type="containsText" dxfId="31" priority="132" operator="containsText" text="C">
      <formula>NOT(ISERROR(SEARCH("C",AI46)))</formula>
    </cfRule>
    <cfRule type="containsText" dxfId="30" priority="128" operator="containsText" text="F84">
      <formula>NOT(ISERROR(SEARCH("F84",AI46)))</formula>
    </cfRule>
    <cfRule type="containsText" dxfId="29" priority="134" operator="containsText" text="OFF">
      <formula>NOT(ISERROR(SEARCH("OFF",AI46)))</formula>
    </cfRule>
    <cfRule type="containsText" dxfId="28" priority="133" operator="containsText" text="OFF">
      <formula>NOT(ISERROR(SEARCH("OFF",AI46)))</formula>
    </cfRule>
    <cfRule type="containsText" dxfId="27" priority="126" operator="containsText" text="TH">
      <formula>NOT(ISERROR(SEARCH("TH",AI46)))</formula>
    </cfRule>
    <cfRule type="containsText" dxfId="26" priority="125" operator="containsText" text="F84">
      <formula>NOT(ISERROR(SEARCH("F84",AI46)))</formula>
    </cfRule>
    <cfRule type="containsText" dxfId="25" priority="124" operator="containsText" text="WH">
      <formula>NOT(ISERROR(SEARCH("WH",AI46)))</formula>
    </cfRule>
    <cfRule type="containsText" dxfId="24" priority="123" operator="containsText" text="TH">
      <formula>NOT(ISERROR(SEARCH("TH",AI46)))</formula>
    </cfRule>
    <cfRule type="containsText" dxfId="23" priority="127" operator="containsText" text="WH">
      <formula>NOT(ISERROR(SEARCH("WH",AI46)))</formula>
    </cfRule>
  </conditionalFormatting>
  <conditionalFormatting sqref="AN2 AQ3:AR6">
    <cfRule type="containsText" dxfId="22" priority="218" operator="containsText" text="A">
      <formula>NOT(ISERROR(SEARCH("A",AN2)))</formula>
    </cfRule>
    <cfRule type="containsText" dxfId="21" priority="219" operator="containsText" text="N">
      <formula>NOT(ISERROR(SEARCH("N",AN2)))</formula>
    </cfRule>
    <cfRule type="containsText" dxfId="20" priority="222" operator="containsText" text="S">
      <formula>NOT(ISERROR(SEARCH("S",AN2)))</formula>
    </cfRule>
    <cfRule type="containsText" dxfId="19" priority="224" operator="containsText" text="C">
      <formula>NOT(ISERROR(SEARCH("C",AN2)))</formula>
    </cfRule>
    <cfRule type="containsText" dxfId="18" priority="225" operator="containsText" text="OFF">
      <formula>NOT(ISERROR(SEARCH("OFF",AN2)))</formula>
    </cfRule>
    <cfRule type="containsText" dxfId="17" priority="223" operator="containsText" text="I">
      <formula>NOT(ISERROR(SEARCH("I",AN2)))</formula>
    </cfRule>
  </conditionalFormatting>
  <conditionalFormatting sqref="AN4">
    <cfRule type="containsText" dxfId="16" priority="216" operator="containsText" text="A">
      <formula>NOT(ISERROR(SEARCH("A",AN4)))</formula>
    </cfRule>
    <cfRule type="containsText" dxfId="15" priority="217" operator="containsText" text="N">
      <formula>NOT(ISERROR(SEARCH("N",AN4)))</formula>
    </cfRule>
  </conditionalFormatting>
  <conditionalFormatting sqref="AQ8:AR13">
    <cfRule type="containsText" dxfId="14" priority="23" operator="containsText" text="N">
      <formula>NOT(ISERROR(SEARCH("N",AQ8)))</formula>
    </cfRule>
    <cfRule type="containsText" dxfId="13" priority="24" operator="containsText" text="S">
      <formula>NOT(ISERROR(SEARCH("S",AQ8)))</formula>
    </cfRule>
    <cfRule type="containsText" dxfId="12" priority="25" operator="containsText" text="I">
      <formula>NOT(ISERROR(SEARCH("I",AQ8)))</formula>
    </cfRule>
    <cfRule type="containsText" dxfId="11" priority="22" operator="containsText" text="A">
      <formula>NOT(ISERROR(SEARCH("A",AQ8)))</formula>
    </cfRule>
    <cfRule type="containsText" dxfId="10" priority="27" operator="containsText" text="OFF">
      <formula>NOT(ISERROR(SEARCH("OFF",AQ8)))</formula>
    </cfRule>
    <cfRule type="containsText" dxfId="9" priority="26" operator="containsText" text="C">
      <formula>NOT(ISERROR(SEARCH("C",AQ8)))</formula>
    </cfRule>
  </conditionalFormatting>
  <conditionalFormatting sqref="AQ2:AS2">
    <cfRule type="containsText" dxfId="8" priority="220" operator="containsText" text="A">
      <formula>NOT(ISERROR(SEARCH("A",AQ2)))</formula>
    </cfRule>
    <cfRule type="containsText" dxfId="7" priority="221" operator="containsText" text="N">
      <formula>NOT(ISERROR(SEARCH("N",AQ2)))</formula>
    </cfRule>
  </conditionalFormatting>
  <conditionalFormatting sqref="AS12 Y38:Y49 Z43:AA43 Z45:AL45">
    <cfRule type="containsText" dxfId="6" priority="212" operator="containsText" text="A">
      <formula>NOT(ISERROR(SEARCH("A",Y12)))</formula>
    </cfRule>
    <cfRule type="containsText" dxfId="5" priority="213" operator="containsText" text="OFF">
      <formula>NOT(ISERROR(SEARCH("OFF",Y12)))</formula>
    </cfRule>
    <cfRule type="containsText" dxfId="4" priority="214" operator="containsText" text="N">
      <formula>NOT(ISERROR(SEARCH("N",Y12)))</formula>
    </cfRule>
    <cfRule type="containsText" dxfId="3" priority="215" operator="containsText" text="D">
      <formula>NOT(ISERROR(SEARCH("D",Y12)))</formula>
    </cfRule>
    <cfRule type="containsText" dxfId="2" priority="209" operator="containsText" text="S">
      <formula>NOT(ISERROR(SEARCH("S",Y12)))</formula>
    </cfRule>
    <cfRule type="containsText" dxfId="1" priority="210" operator="containsText" text="I">
      <formula>NOT(ISERROR(SEARCH("I",Y12)))</formula>
    </cfRule>
    <cfRule type="containsText" dxfId="0" priority="211" operator="containsText" text="C">
      <formula>NOT(ISERROR(SEARCH("C",Y12)))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8867A-2513-4762-8873-9F67ADC02C45}">
  <sheetPr>
    <tabColor theme="5" tint="0.39997558519241921"/>
  </sheetPr>
  <dimension ref="A1:Q145"/>
  <sheetViews>
    <sheetView zoomScale="85" zoomScaleNormal="85" workbookViewId="0">
      <selection activeCell="A4" sqref="A4"/>
    </sheetView>
  </sheetViews>
  <sheetFormatPr defaultColWidth="9" defaultRowHeight="14.5"/>
  <cols>
    <col min="1" max="1" width="20.54296875" customWidth="1"/>
    <col min="2" max="2" width="3.81640625" customWidth="1"/>
    <col min="3" max="3" width="10.26953125" bestFit="1" customWidth="1"/>
    <col min="4" max="4" width="26.453125" bestFit="1" customWidth="1"/>
    <col min="5" max="5" width="12" bestFit="1" customWidth="1"/>
    <col min="6" max="6" width="10.7265625" bestFit="1" customWidth="1"/>
    <col min="7" max="7" width="6.54296875" bestFit="1" customWidth="1"/>
    <col min="8" max="8" width="5" bestFit="1" customWidth="1"/>
    <col min="9" max="9" width="9.26953125" bestFit="1" customWidth="1"/>
    <col min="10" max="10" width="6.54296875" bestFit="1" customWidth="1"/>
    <col min="11" max="11" width="5.54296875" customWidth="1"/>
    <col min="12" max="12" width="9.26953125" bestFit="1" customWidth="1"/>
    <col min="13" max="13" width="7.1796875" customWidth="1"/>
    <col min="14" max="14" width="6.453125" bestFit="1" customWidth="1"/>
    <col min="15" max="15" width="8.1796875" bestFit="1" customWidth="1"/>
    <col min="16" max="16" width="7.1796875" bestFit="1" customWidth="1"/>
    <col min="17" max="17" width="63.54296875" bestFit="1" customWidth="1"/>
  </cols>
  <sheetData>
    <row r="1" spans="1:17">
      <c r="B1" s="107" t="s">
        <v>82</v>
      </c>
      <c r="C1" s="107" t="s">
        <v>83</v>
      </c>
      <c r="D1" s="107" t="s">
        <v>84</v>
      </c>
      <c r="E1" s="107" t="s">
        <v>85</v>
      </c>
      <c r="F1" s="110" t="s">
        <v>86</v>
      </c>
      <c r="G1" s="107" t="s">
        <v>87</v>
      </c>
      <c r="H1" s="107"/>
      <c r="I1" s="107"/>
      <c r="J1" s="106" t="s">
        <v>88</v>
      </c>
      <c r="K1" s="106"/>
      <c r="L1" s="106"/>
      <c r="M1" s="107" t="s">
        <v>89</v>
      </c>
      <c r="N1" s="107"/>
      <c r="O1" s="107"/>
      <c r="P1" s="107" t="s">
        <v>90</v>
      </c>
      <c r="Q1" s="108" t="s">
        <v>91</v>
      </c>
    </row>
    <row r="2" spans="1:17">
      <c r="B2" s="107"/>
      <c r="C2" s="107"/>
      <c r="D2" s="107"/>
      <c r="E2" s="107"/>
      <c r="F2" s="110"/>
      <c r="G2" s="62" t="s">
        <v>92</v>
      </c>
      <c r="H2" s="62" t="s">
        <v>93</v>
      </c>
      <c r="I2" s="62" t="s">
        <v>94</v>
      </c>
      <c r="J2" s="62" t="s">
        <v>92</v>
      </c>
      <c r="K2" s="62" t="s">
        <v>93</v>
      </c>
      <c r="L2" s="62" t="s">
        <v>94</v>
      </c>
      <c r="M2" s="62" t="s">
        <v>92</v>
      </c>
      <c r="N2" s="62" t="s">
        <v>93</v>
      </c>
      <c r="O2" s="62" t="s">
        <v>94</v>
      </c>
      <c r="P2" s="107"/>
      <c r="Q2" s="109"/>
    </row>
    <row r="3" spans="1:17" s="63" customFormat="1" ht="16">
      <c r="A3" s="63" t="str">
        <f>C3&amp;E3</f>
        <v>20723146268</v>
      </c>
      <c r="B3" s="64">
        <v>1</v>
      </c>
      <c r="C3" s="65">
        <v>207231</v>
      </c>
      <c r="D3" s="104" t="s">
        <v>98</v>
      </c>
      <c r="E3" s="67">
        <v>46268</v>
      </c>
      <c r="F3" s="64"/>
      <c r="G3" s="68"/>
      <c r="H3" s="69"/>
      <c r="I3" s="70"/>
      <c r="J3" s="64"/>
      <c r="K3" s="64"/>
      <c r="L3" s="71"/>
      <c r="M3" s="68">
        <v>0.6875</v>
      </c>
      <c r="N3" s="68">
        <v>0.70833333333333337</v>
      </c>
      <c r="O3" s="72">
        <v>2.0833333333333332E-2</v>
      </c>
      <c r="P3" s="72">
        <v>2.0833333333333332E-2</v>
      </c>
      <c r="Q3" s="73" t="s">
        <v>99</v>
      </c>
    </row>
    <row r="4" spans="1:17" s="63" customFormat="1" ht="16">
      <c r="A4" s="63" t="str">
        <f t="shared" ref="A4:A67" si="0">C4&amp;E4</f>
        <v>20723146270</v>
      </c>
      <c r="B4" s="64">
        <v>2</v>
      </c>
      <c r="C4" s="65">
        <v>207231</v>
      </c>
      <c r="D4" s="66" t="s">
        <v>98</v>
      </c>
      <c r="E4" s="67">
        <v>46270</v>
      </c>
      <c r="F4" s="64"/>
      <c r="G4" s="68"/>
      <c r="H4" s="69"/>
      <c r="I4" s="70"/>
      <c r="J4" s="64"/>
      <c r="K4" s="64"/>
      <c r="L4" s="71"/>
      <c r="M4" s="68">
        <v>0.6875</v>
      </c>
      <c r="N4" s="68">
        <v>0.72916666666666663</v>
      </c>
      <c r="O4" s="72">
        <v>4.1666666666666664E-2</v>
      </c>
      <c r="P4" s="72">
        <v>4.1666666666666664E-2</v>
      </c>
      <c r="Q4" s="73" t="s">
        <v>100</v>
      </c>
    </row>
    <row r="5" spans="1:17" s="63" customFormat="1" ht="16">
      <c r="A5" s="63" t="str">
        <f t="shared" si="0"/>
        <v>20723146273</v>
      </c>
      <c r="B5" s="64">
        <v>5</v>
      </c>
      <c r="C5" s="65">
        <v>207231</v>
      </c>
      <c r="D5" s="66" t="s">
        <v>98</v>
      </c>
      <c r="E5" s="67">
        <v>46273</v>
      </c>
      <c r="F5" s="64"/>
      <c r="G5" s="68"/>
      <c r="H5" s="69"/>
      <c r="I5" s="70"/>
      <c r="J5" s="64"/>
      <c r="K5" s="64"/>
      <c r="L5" s="71"/>
      <c r="M5" s="68">
        <v>0.6875</v>
      </c>
      <c r="N5" s="68">
        <v>0.70902777777777781</v>
      </c>
      <c r="O5" s="72">
        <v>2.1527777777777778E-2</v>
      </c>
      <c r="P5" s="72">
        <v>2.1527777777777778E-2</v>
      </c>
      <c r="Q5" s="73" t="s">
        <v>101</v>
      </c>
    </row>
    <row r="6" spans="1:17" s="63" customFormat="1" ht="16">
      <c r="A6" s="63" t="str">
        <f t="shared" si="0"/>
        <v>20723146274</v>
      </c>
      <c r="B6" s="64">
        <v>6</v>
      </c>
      <c r="C6" s="65">
        <v>207231</v>
      </c>
      <c r="D6" s="66" t="s">
        <v>98</v>
      </c>
      <c r="E6" s="67">
        <v>46274</v>
      </c>
      <c r="F6" s="64"/>
      <c r="G6" s="68"/>
      <c r="H6" s="69"/>
      <c r="I6" s="70"/>
      <c r="J6" s="64"/>
      <c r="K6" s="64"/>
      <c r="L6" s="71"/>
      <c r="M6" s="68">
        <v>0.6875</v>
      </c>
      <c r="N6" s="68">
        <v>0.73958333333333337</v>
      </c>
      <c r="O6" s="72">
        <v>5.2083333333333336E-2</v>
      </c>
      <c r="P6" s="72">
        <v>5.2083333333333336E-2</v>
      </c>
      <c r="Q6" s="73" t="s">
        <v>102</v>
      </c>
    </row>
    <row r="7" spans="1:17" s="63" customFormat="1" ht="16">
      <c r="A7" s="63" t="str">
        <f t="shared" si="0"/>
        <v>20723146275</v>
      </c>
      <c r="B7" s="64">
        <v>7</v>
      </c>
      <c r="C7" s="65">
        <v>207231</v>
      </c>
      <c r="D7" s="66" t="s">
        <v>98</v>
      </c>
      <c r="E7" s="67">
        <v>46275</v>
      </c>
      <c r="F7" s="64"/>
      <c r="G7" s="68"/>
      <c r="H7" s="69"/>
      <c r="I7" s="70"/>
      <c r="J7" s="64"/>
      <c r="K7" s="64"/>
      <c r="L7" s="71"/>
      <c r="M7" s="68">
        <v>0.6875</v>
      </c>
      <c r="N7" s="68">
        <v>0.70972222222222225</v>
      </c>
      <c r="O7" s="72">
        <v>2.2222222222222223E-2</v>
      </c>
      <c r="P7" s="72">
        <v>2.2222222222222223E-2</v>
      </c>
      <c r="Q7" s="73" t="s">
        <v>103</v>
      </c>
    </row>
    <row r="8" spans="1:17" s="63" customFormat="1" ht="16">
      <c r="A8" s="63" t="str">
        <f t="shared" si="0"/>
        <v>20723146277</v>
      </c>
      <c r="B8" s="64">
        <v>12</v>
      </c>
      <c r="C8" s="65">
        <v>207231</v>
      </c>
      <c r="D8" s="66" t="s">
        <v>98</v>
      </c>
      <c r="E8" s="67">
        <v>46277</v>
      </c>
      <c r="F8" s="64"/>
      <c r="G8" s="68"/>
      <c r="H8" s="69"/>
      <c r="I8" s="70"/>
      <c r="J8" s="64"/>
      <c r="K8" s="64"/>
      <c r="L8" s="71"/>
      <c r="M8" s="68">
        <v>0.6875</v>
      </c>
      <c r="N8" s="68">
        <v>0.75</v>
      </c>
      <c r="O8" s="72">
        <v>6.25E-2</v>
      </c>
      <c r="P8" s="72">
        <v>6.25E-2</v>
      </c>
      <c r="Q8" s="73" t="s">
        <v>104</v>
      </c>
    </row>
    <row r="9" spans="1:17" s="63" customFormat="1" ht="16">
      <c r="A9" s="63" t="str">
        <f t="shared" si="0"/>
        <v>20126146276</v>
      </c>
      <c r="B9" s="64">
        <v>9</v>
      </c>
      <c r="C9" s="65">
        <v>201261</v>
      </c>
      <c r="D9" s="66" t="s">
        <v>105</v>
      </c>
      <c r="E9" s="67">
        <v>46276</v>
      </c>
      <c r="F9" s="64"/>
      <c r="G9" s="68"/>
      <c r="H9" s="69"/>
      <c r="I9" s="70"/>
      <c r="J9" s="64"/>
      <c r="K9" s="64"/>
      <c r="L9" s="71"/>
      <c r="M9" s="68">
        <v>0.47916666666666669</v>
      </c>
      <c r="N9" s="68">
        <v>0.5</v>
      </c>
      <c r="O9" s="72">
        <v>2.0833333333333332E-2</v>
      </c>
      <c r="P9" s="72">
        <v>2.0833333333333332E-2</v>
      </c>
      <c r="Q9" s="73" t="s">
        <v>106</v>
      </c>
    </row>
    <row r="10" spans="1:17" s="63" customFormat="1" ht="16">
      <c r="A10" s="63" t="str">
        <f t="shared" si="0"/>
        <v>20723146281</v>
      </c>
      <c r="B10" s="64">
        <v>10</v>
      </c>
      <c r="C10" s="65">
        <v>207231</v>
      </c>
      <c r="D10" s="104" t="s">
        <v>98</v>
      </c>
      <c r="E10" s="67">
        <v>46281</v>
      </c>
      <c r="F10" s="64"/>
      <c r="G10" s="68"/>
      <c r="H10" s="69"/>
      <c r="I10" s="70"/>
      <c r="J10" s="64"/>
      <c r="K10" s="64"/>
      <c r="L10" s="71"/>
      <c r="M10" s="68">
        <v>0.6875</v>
      </c>
      <c r="N10" s="68">
        <v>0.75</v>
      </c>
      <c r="O10" s="72">
        <v>6.25E-2</v>
      </c>
      <c r="P10" s="72">
        <v>6.25E-2</v>
      </c>
      <c r="Q10" s="73" t="s">
        <v>107</v>
      </c>
    </row>
    <row r="11" spans="1:17" s="63" customFormat="1" ht="16">
      <c r="A11" s="63" t="str">
        <f t="shared" si="0"/>
        <v>20725346283</v>
      </c>
      <c r="B11" s="64">
        <v>11</v>
      </c>
      <c r="C11" s="65">
        <v>207253</v>
      </c>
      <c r="D11" s="66" t="s">
        <v>95</v>
      </c>
      <c r="E11" s="67">
        <v>46283</v>
      </c>
      <c r="F11" s="64"/>
      <c r="G11" s="68"/>
      <c r="H11" s="69"/>
      <c r="I11" s="70"/>
      <c r="J11" s="64"/>
      <c r="K11" s="64"/>
      <c r="L11" s="71"/>
      <c r="M11" s="68">
        <v>0.45833333333333331</v>
      </c>
      <c r="N11" s="68">
        <v>0.54166666666666663</v>
      </c>
      <c r="O11" s="72">
        <v>8.3333333333333329E-2</v>
      </c>
      <c r="P11" s="72">
        <v>8.3333333333333329E-2</v>
      </c>
      <c r="Q11" s="73" t="s">
        <v>108</v>
      </c>
    </row>
    <row r="12" spans="1:17" s="63" customFormat="1" ht="16">
      <c r="A12" s="63" t="str">
        <f t="shared" si="0"/>
        <v/>
      </c>
      <c r="B12" s="64">
        <v>13</v>
      </c>
      <c r="C12" s="65"/>
      <c r="D12" s="99"/>
      <c r="E12" s="103"/>
      <c r="F12" s="64"/>
      <c r="G12" s="68"/>
      <c r="H12" s="69"/>
      <c r="I12" s="70"/>
      <c r="J12" s="64"/>
      <c r="K12" s="64"/>
      <c r="L12" s="71"/>
      <c r="M12" s="100"/>
      <c r="N12" s="100"/>
      <c r="O12" s="101"/>
      <c r="P12" s="72"/>
      <c r="Q12" s="73"/>
    </row>
    <row r="13" spans="1:17" s="63" customFormat="1" ht="16">
      <c r="A13" s="63" t="str">
        <f t="shared" si="0"/>
        <v/>
      </c>
      <c r="B13" s="64">
        <v>14</v>
      </c>
      <c r="C13" s="65"/>
      <c r="D13" s="99"/>
      <c r="E13" s="103"/>
      <c r="F13" s="64"/>
      <c r="G13" s="68"/>
      <c r="H13" s="69"/>
      <c r="I13" s="70"/>
      <c r="J13" s="64"/>
      <c r="K13" s="64"/>
      <c r="L13" s="71"/>
      <c r="M13" s="100"/>
      <c r="N13" s="100"/>
      <c r="O13" s="101"/>
      <c r="P13" s="72"/>
      <c r="Q13" s="73"/>
    </row>
    <row r="14" spans="1:17" s="63" customFormat="1" ht="16">
      <c r="A14" s="63" t="str">
        <f t="shared" si="0"/>
        <v/>
      </c>
      <c r="B14" s="64">
        <v>15</v>
      </c>
      <c r="C14" s="65"/>
      <c r="D14" s="99"/>
      <c r="E14" s="103"/>
      <c r="F14" s="64"/>
      <c r="G14" s="68"/>
      <c r="H14" s="69"/>
      <c r="I14" s="70"/>
      <c r="J14" s="64"/>
      <c r="K14" s="64"/>
      <c r="L14" s="71"/>
      <c r="M14" s="100"/>
      <c r="N14" s="100"/>
      <c r="O14" s="101"/>
      <c r="P14" s="72"/>
      <c r="Q14" s="73"/>
    </row>
    <row r="15" spans="1:17" s="63" customFormat="1" ht="16">
      <c r="A15" s="63" t="str">
        <f t="shared" si="0"/>
        <v/>
      </c>
      <c r="B15" s="64">
        <v>16</v>
      </c>
      <c r="C15" s="65"/>
      <c r="D15" s="99"/>
      <c r="E15" s="103"/>
      <c r="F15" s="64"/>
      <c r="G15" s="68"/>
      <c r="H15" s="69"/>
      <c r="I15" s="70"/>
      <c r="J15" s="64"/>
      <c r="K15" s="64"/>
      <c r="L15" s="71"/>
      <c r="M15" s="100"/>
      <c r="N15" s="100"/>
      <c r="O15" s="101"/>
      <c r="P15" s="72"/>
      <c r="Q15" s="73"/>
    </row>
    <row r="16" spans="1:17" s="63" customFormat="1" ht="16">
      <c r="A16" s="63" t="str">
        <f t="shared" si="0"/>
        <v/>
      </c>
      <c r="B16" s="64">
        <v>17</v>
      </c>
      <c r="C16" s="65"/>
      <c r="D16" s="66"/>
      <c r="E16" s="103"/>
      <c r="F16" s="64"/>
      <c r="G16" s="68"/>
      <c r="H16" s="69"/>
      <c r="I16" s="70"/>
      <c r="J16" s="64"/>
      <c r="K16" s="64"/>
      <c r="L16" s="71"/>
      <c r="M16" s="100"/>
      <c r="N16" s="100"/>
      <c r="O16" s="101"/>
      <c r="P16" s="72"/>
      <c r="Q16" s="73"/>
    </row>
    <row r="17" spans="1:17" s="63" customFormat="1" ht="16">
      <c r="A17" s="63" t="str">
        <f t="shared" si="0"/>
        <v/>
      </c>
      <c r="B17" s="64">
        <v>18</v>
      </c>
      <c r="C17" s="65"/>
      <c r="D17" s="99"/>
      <c r="E17" s="103"/>
      <c r="F17" s="64"/>
      <c r="G17" s="68"/>
      <c r="H17" s="69"/>
      <c r="I17" s="70"/>
      <c r="J17" s="64"/>
      <c r="K17" s="64"/>
      <c r="L17" s="71"/>
      <c r="M17" s="100"/>
      <c r="N17" s="100"/>
      <c r="O17" s="101"/>
      <c r="P17" s="72"/>
      <c r="Q17" s="73"/>
    </row>
    <row r="18" spans="1:17" s="63" customFormat="1" ht="16">
      <c r="A18" s="63" t="str">
        <f t="shared" si="0"/>
        <v/>
      </c>
      <c r="B18" s="64">
        <v>19</v>
      </c>
      <c r="C18" s="65"/>
      <c r="D18" s="99"/>
      <c r="E18" s="103"/>
      <c r="F18" s="64"/>
      <c r="G18" s="68"/>
      <c r="H18" s="69"/>
      <c r="I18" s="70"/>
      <c r="J18" s="64"/>
      <c r="K18" s="64"/>
      <c r="L18" s="71"/>
      <c r="M18" s="100"/>
      <c r="N18" s="100"/>
      <c r="O18" s="101"/>
      <c r="P18" s="72"/>
      <c r="Q18" s="73"/>
    </row>
    <row r="19" spans="1:17" s="63" customFormat="1">
      <c r="A19" s="63" t="str">
        <f t="shared" si="0"/>
        <v/>
      </c>
      <c r="B19" s="64">
        <v>20</v>
      </c>
      <c r="C19" s="65"/>
      <c r="D19" s="99"/>
      <c r="E19" s="103"/>
      <c r="F19" s="64"/>
      <c r="G19" s="68"/>
      <c r="H19" s="69"/>
      <c r="I19" s="70"/>
      <c r="J19" s="64"/>
      <c r="K19" s="64"/>
      <c r="L19" s="71"/>
      <c r="M19" s="100"/>
      <c r="N19" s="100"/>
      <c r="O19" s="102"/>
      <c r="P19" s="75"/>
      <c r="Q19" s="76"/>
    </row>
    <row r="20" spans="1:17" s="63" customFormat="1">
      <c r="A20" s="63" t="str">
        <f t="shared" si="0"/>
        <v/>
      </c>
      <c r="B20" s="64">
        <v>21</v>
      </c>
      <c r="C20" s="65"/>
      <c r="D20" s="99"/>
      <c r="E20" s="103"/>
      <c r="F20" s="64"/>
      <c r="G20" s="68"/>
      <c r="H20" s="69"/>
      <c r="I20" s="70"/>
      <c r="J20" s="64"/>
      <c r="K20" s="64"/>
      <c r="L20" s="71"/>
      <c r="M20" s="100"/>
      <c r="N20" s="100"/>
      <c r="O20" s="102"/>
      <c r="P20" s="75"/>
      <c r="Q20" s="76"/>
    </row>
    <row r="21" spans="1:17" s="63" customFormat="1">
      <c r="A21" s="63" t="str">
        <f t="shared" si="0"/>
        <v/>
      </c>
      <c r="B21" s="64">
        <v>24</v>
      </c>
      <c r="C21" s="65"/>
      <c r="D21" s="99"/>
      <c r="E21" s="103"/>
      <c r="F21" s="64"/>
      <c r="G21" s="68"/>
      <c r="H21" s="69"/>
      <c r="I21" s="70"/>
      <c r="J21" s="64"/>
      <c r="K21" s="64"/>
      <c r="L21" s="71"/>
      <c r="M21" s="100"/>
      <c r="N21" s="100"/>
      <c r="O21" s="102"/>
      <c r="P21" s="75"/>
      <c r="Q21" s="76"/>
    </row>
    <row r="22" spans="1:17" s="63" customFormat="1">
      <c r="A22" s="63" t="str">
        <f t="shared" si="0"/>
        <v/>
      </c>
      <c r="B22" s="64">
        <v>25</v>
      </c>
      <c r="C22" s="65"/>
      <c r="D22" s="66"/>
      <c r="E22" s="103"/>
      <c r="F22" s="64"/>
      <c r="G22" s="68"/>
      <c r="H22" s="69"/>
      <c r="I22" s="70"/>
      <c r="J22" s="64"/>
      <c r="K22" s="64"/>
      <c r="L22" s="71"/>
      <c r="M22" s="100"/>
      <c r="N22" s="100"/>
      <c r="O22" s="102"/>
      <c r="P22" s="75"/>
      <c r="Q22" s="76"/>
    </row>
    <row r="23" spans="1:17" s="63" customFormat="1" ht="16">
      <c r="A23" s="63" t="str">
        <f t="shared" si="0"/>
        <v/>
      </c>
      <c r="B23" s="64">
        <v>26</v>
      </c>
      <c r="C23" s="65"/>
      <c r="D23" s="66"/>
      <c r="E23" s="103"/>
      <c r="F23" s="64"/>
      <c r="G23" s="68"/>
      <c r="H23" s="69"/>
      <c r="I23" s="70"/>
      <c r="J23" s="64"/>
      <c r="K23" s="64"/>
      <c r="L23" s="71"/>
      <c r="M23" s="100"/>
      <c r="N23" s="100"/>
      <c r="O23" s="102"/>
      <c r="P23" s="75"/>
      <c r="Q23" s="73"/>
    </row>
    <row r="24" spans="1:17" s="63" customFormat="1" ht="16">
      <c r="A24" s="63" t="str">
        <f t="shared" si="0"/>
        <v/>
      </c>
      <c r="B24" s="64">
        <v>27</v>
      </c>
      <c r="C24" s="65"/>
      <c r="D24" s="99"/>
      <c r="E24" s="103"/>
      <c r="F24" s="64"/>
      <c r="G24" s="68"/>
      <c r="H24" s="69"/>
      <c r="I24" s="70"/>
      <c r="J24" s="64"/>
      <c r="K24" s="64"/>
      <c r="L24" s="71"/>
      <c r="M24" s="100"/>
      <c r="N24" s="100"/>
      <c r="O24" s="101"/>
      <c r="P24" s="72"/>
      <c r="Q24" s="73"/>
    </row>
    <row r="25" spans="1:17" s="63" customFormat="1">
      <c r="A25" s="63" t="str">
        <f t="shared" si="0"/>
        <v/>
      </c>
      <c r="B25" s="64">
        <v>22</v>
      </c>
      <c r="C25" s="65"/>
      <c r="D25" s="66"/>
      <c r="E25" s="67"/>
      <c r="F25" s="64"/>
      <c r="G25" s="68"/>
      <c r="H25" s="69"/>
      <c r="I25" s="70"/>
      <c r="J25" s="64"/>
      <c r="K25" s="64"/>
      <c r="L25" s="71"/>
      <c r="M25" s="68"/>
      <c r="N25" s="68"/>
      <c r="O25" s="74"/>
      <c r="P25" s="75"/>
      <c r="Q25" s="76"/>
    </row>
    <row r="26" spans="1:17" s="63" customFormat="1">
      <c r="A26" s="63" t="str">
        <f t="shared" si="0"/>
        <v/>
      </c>
      <c r="B26" s="64">
        <v>23</v>
      </c>
      <c r="C26" s="65"/>
      <c r="D26" s="66"/>
      <c r="E26" s="67"/>
      <c r="F26" s="64"/>
      <c r="G26" s="68"/>
      <c r="H26" s="69"/>
      <c r="I26" s="70"/>
      <c r="J26" s="64"/>
      <c r="K26" s="64"/>
      <c r="L26" s="71"/>
      <c r="M26" s="68"/>
      <c r="N26" s="68"/>
      <c r="O26" s="74"/>
      <c r="P26" s="75"/>
      <c r="Q26" s="76"/>
    </row>
    <row r="27" spans="1:17" s="63" customFormat="1">
      <c r="A27" s="63" t="str">
        <f t="shared" si="0"/>
        <v/>
      </c>
      <c r="B27" s="64">
        <v>30</v>
      </c>
      <c r="C27" s="65"/>
      <c r="D27" s="66"/>
      <c r="E27" s="67"/>
      <c r="F27" s="64"/>
      <c r="G27" s="68"/>
      <c r="H27" s="69"/>
      <c r="I27" s="70"/>
      <c r="J27" s="64"/>
      <c r="K27" s="64"/>
      <c r="L27" s="71"/>
      <c r="M27" s="68"/>
      <c r="N27" s="68"/>
      <c r="O27" s="74"/>
      <c r="P27" s="75"/>
      <c r="Q27" s="76"/>
    </row>
    <row r="28" spans="1:17" s="63" customFormat="1" ht="16">
      <c r="A28" s="63" t="str">
        <f t="shared" si="0"/>
        <v/>
      </c>
      <c r="B28" s="64">
        <v>28</v>
      </c>
      <c r="C28" s="65"/>
      <c r="D28" s="66"/>
      <c r="E28" s="67"/>
      <c r="F28" s="64"/>
      <c r="G28" s="68"/>
      <c r="H28" s="69"/>
      <c r="I28" s="70"/>
      <c r="J28" s="64"/>
      <c r="K28" s="64"/>
      <c r="L28" s="71"/>
      <c r="M28" s="68"/>
      <c r="N28" s="68"/>
      <c r="O28" s="72"/>
      <c r="P28" s="72"/>
      <c r="Q28" s="73"/>
    </row>
    <row r="29" spans="1:17" s="63" customFormat="1" ht="16">
      <c r="A29" s="63" t="str">
        <f t="shared" si="0"/>
        <v/>
      </c>
      <c r="B29" s="64">
        <v>29</v>
      </c>
      <c r="C29" s="65"/>
      <c r="D29" s="66"/>
      <c r="E29" s="67"/>
      <c r="F29" s="64"/>
      <c r="G29" s="68"/>
      <c r="H29" s="69"/>
      <c r="I29" s="70"/>
      <c r="J29" s="64"/>
      <c r="K29" s="64"/>
      <c r="L29" s="71"/>
      <c r="M29" s="68"/>
      <c r="N29" s="68"/>
      <c r="O29" s="72"/>
      <c r="P29" s="72"/>
      <c r="Q29" s="73"/>
    </row>
    <row r="30" spans="1:17" s="63" customFormat="1" ht="16">
      <c r="A30" s="63" t="str">
        <f t="shared" si="0"/>
        <v/>
      </c>
      <c r="B30" s="64">
        <v>31</v>
      </c>
      <c r="C30" s="65"/>
      <c r="D30" s="66"/>
      <c r="E30" s="67"/>
      <c r="F30" s="64"/>
      <c r="G30" s="68"/>
      <c r="H30" s="69"/>
      <c r="I30" s="70"/>
      <c r="J30" s="64"/>
      <c r="K30" s="64"/>
      <c r="L30" s="71"/>
      <c r="M30" s="68"/>
      <c r="N30" s="68"/>
      <c r="O30" s="72"/>
      <c r="P30" s="72"/>
      <c r="Q30" s="73"/>
    </row>
    <row r="31" spans="1:17" s="63" customFormat="1" ht="16">
      <c r="A31" s="63" t="str">
        <f t="shared" si="0"/>
        <v/>
      </c>
      <c r="B31" s="64">
        <v>32</v>
      </c>
      <c r="C31" s="65"/>
      <c r="D31" s="66"/>
      <c r="E31" s="67"/>
      <c r="F31" s="64"/>
      <c r="G31" s="68"/>
      <c r="H31" s="69"/>
      <c r="I31" s="70"/>
      <c r="J31" s="64"/>
      <c r="K31" s="64"/>
      <c r="L31" s="71"/>
      <c r="M31" s="68"/>
      <c r="N31" s="68"/>
      <c r="O31" s="72"/>
      <c r="P31" s="72"/>
      <c r="Q31" s="73"/>
    </row>
    <row r="32" spans="1:17" s="63" customFormat="1" ht="16">
      <c r="A32" s="63" t="str">
        <f t="shared" si="0"/>
        <v/>
      </c>
      <c r="B32" s="64">
        <v>33</v>
      </c>
      <c r="C32" s="65"/>
      <c r="D32" s="66"/>
      <c r="E32" s="67"/>
      <c r="F32" s="64"/>
      <c r="G32" s="68"/>
      <c r="H32" s="69"/>
      <c r="I32" s="70"/>
      <c r="J32" s="64"/>
      <c r="K32" s="64"/>
      <c r="L32" s="71"/>
      <c r="M32" s="68"/>
      <c r="N32" s="68"/>
      <c r="O32" s="72"/>
      <c r="P32" s="72"/>
      <c r="Q32" s="73"/>
    </row>
    <row r="33" spans="1:17" s="63" customFormat="1" ht="16">
      <c r="A33" s="63" t="str">
        <f t="shared" si="0"/>
        <v/>
      </c>
      <c r="B33" s="64">
        <v>34</v>
      </c>
      <c r="C33" s="65"/>
      <c r="D33" s="66"/>
      <c r="E33" s="67"/>
      <c r="F33" s="64"/>
      <c r="G33" s="68"/>
      <c r="H33" s="69"/>
      <c r="I33" s="70"/>
      <c r="J33" s="64"/>
      <c r="K33" s="64"/>
      <c r="L33" s="71"/>
      <c r="M33" s="68"/>
      <c r="N33" s="68"/>
      <c r="O33" s="72"/>
      <c r="P33" s="72"/>
      <c r="Q33" s="73"/>
    </row>
    <row r="34" spans="1:17" s="63" customFormat="1" ht="16">
      <c r="A34" s="63" t="str">
        <f t="shared" si="0"/>
        <v/>
      </c>
      <c r="B34" s="64">
        <v>35</v>
      </c>
      <c r="C34" s="65"/>
      <c r="D34" s="66"/>
      <c r="E34" s="67"/>
      <c r="F34" s="64"/>
      <c r="G34" s="68"/>
      <c r="H34" s="69"/>
      <c r="I34" s="70"/>
      <c r="J34" s="64"/>
      <c r="K34" s="64"/>
      <c r="L34" s="71"/>
      <c r="M34" s="68"/>
      <c r="N34" s="68"/>
      <c r="O34" s="72"/>
      <c r="P34" s="72"/>
      <c r="Q34" s="73"/>
    </row>
    <row r="35" spans="1:17" s="63" customFormat="1" ht="16">
      <c r="A35" s="63" t="str">
        <f t="shared" si="0"/>
        <v/>
      </c>
      <c r="B35" s="64">
        <v>36</v>
      </c>
      <c r="C35" s="65"/>
      <c r="D35" s="66"/>
      <c r="E35" s="67"/>
      <c r="F35" s="64"/>
      <c r="G35" s="68"/>
      <c r="H35" s="69"/>
      <c r="I35" s="70"/>
      <c r="J35" s="64"/>
      <c r="K35" s="64"/>
      <c r="L35" s="71"/>
      <c r="M35" s="68"/>
      <c r="N35" s="68"/>
      <c r="O35" s="72"/>
      <c r="P35" s="72"/>
      <c r="Q35" s="73"/>
    </row>
    <row r="36" spans="1:17" s="63" customFormat="1" ht="16">
      <c r="A36" s="63" t="str">
        <f t="shared" si="0"/>
        <v/>
      </c>
      <c r="B36" s="64">
        <v>37</v>
      </c>
      <c r="C36" s="65"/>
      <c r="D36" s="66"/>
      <c r="E36" s="67"/>
      <c r="F36" s="64"/>
      <c r="G36" s="68"/>
      <c r="H36" s="69"/>
      <c r="I36" s="70"/>
      <c r="J36" s="64"/>
      <c r="K36" s="64"/>
      <c r="L36" s="71"/>
      <c r="M36" s="68"/>
      <c r="N36" s="68"/>
      <c r="O36" s="72"/>
      <c r="P36" s="72"/>
      <c r="Q36" s="73"/>
    </row>
    <row r="37" spans="1:17" s="63" customFormat="1" ht="16">
      <c r="A37" s="63" t="str">
        <f t="shared" si="0"/>
        <v/>
      </c>
      <c r="B37" s="64">
        <v>38</v>
      </c>
      <c r="C37" s="65"/>
      <c r="D37" s="66"/>
      <c r="E37" s="67"/>
      <c r="F37" s="64"/>
      <c r="G37" s="68"/>
      <c r="H37" s="69"/>
      <c r="I37" s="70"/>
      <c r="J37" s="64"/>
      <c r="K37" s="64"/>
      <c r="L37" s="71"/>
      <c r="M37" s="68"/>
      <c r="N37" s="68"/>
      <c r="O37" s="72"/>
      <c r="P37" s="72"/>
      <c r="Q37" s="73"/>
    </row>
    <row r="38" spans="1:17" s="63" customFormat="1" ht="16">
      <c r="A38" s="63" t="str">
        <f t="shared" si="0"/>
        <v/>
      </c>
      <c r="B38" s="64">
        <v>39</v>
      </c>
      <c r="C38" s="65"/>
      <c r="D38" s="66"/>
      <c r="E38" s="67"/>
      <c r="F38" s="64"/>
      <c r="G38" s="68"/>
      <c r="H38" s="69"/>
      <c r="I38" s="70"/>
      <c r="J38" s="64"/>
      <c r="K38" s="64"/>
      <c r="L38" s="71"/>
      <c r="M38" s="68"/>
      <c r="N38" s="68"/>
      <c r="O38" s="72"/>
      <c r="P38" s="72"/>
      <c r="Q38" s="73"/>
    </row>
    <row r="39" spans="1:17" s="63" customFormat="1" ht="16">
      <c r="A39" s="63" t="str">
        <f t="shared" si="0"/>
        <v/>
      </c>
      <c r="B39" s="64">
        <v>40</v>
      </c>
      <c r="C39" s="65"/>
      <c r="D39" s="66"/>
      <c r="E39" s="67"/>
      <c r="F39" s="64"/>
      <c r="G39" s="68"/>
      <c r="H39" s="69"/>
      <c r="I39" s="70"/>
      <c r="J39" s="64"/>
      <c r="K39" s="64"/>
      <c r="L39" s="71"/>
      <c r="M39" s="68"/>
      <c r="N39" s="68"/>
      <c r="O39" s="72"/>
      <c r="P39" s="72"/>
      <c r="Q39" s="73"/>
    </row>
    <row r="40" spans="1:17" s="63" customFormat="1" ht="16">
      <c r="A40" s="63" t="str">
        <f t="shared" si="0"/>
        <v/>
      </c>
      <c r="B40" s="64">
        <v>41</v>
      </c>
      <c r="C40" s="65"/>
      <c r="D40" s="66"/>
      <c r="E40" s="67"/>
      <c r="F40" s="64"/>
      <c r="G40" s="68"/>
      <c r="H40" s="69"/>
      <c r="I40" s="70"/>
      <c r="J40" s="64"/>
      <c r="K40" s="64"/>
      <c r="L40" s="71"/>
      <c r="M40" s="68"/>
      <c r="N40" s="77"/>
      <c r="O40" s="72"/>
      <c r="P40" s="72"/>
      <c r="Q40" s="73"/>
    </row>
    <row r="41" spans="1:17" s="63" customFormat="1" ht="16">
      <c r="A41" s="63" t="str">
        <f t="shared" si="0"/>
        <v/>
      </c>
      <c r="B41" s="64">
        <v>42</v>
      </c>
      <c r="C41" s="65"/>
      <c r="D41" s="66"/>
      <c r="E41" s="67"/>
      <c r="F41" s="64"/>
      <c r="G41" s="68"/>
      <c r="H41" s="69"/>
      <c r="I41" s="70"/>
      <c r="J41" s="64"/>
      <c r="K41" s="64"/>
      <c r="L41" s="71"/>
      <c r="M41" s="68"/>
      <c r="N41" s="68"/>
      <c r="O41" s="72"/>
      <c r="P41" s="72"/>
      <c r="Q41" s="73"/>
    </row>
    <row r="42" spans="1:17" s="63" customFormat="1" ht="16">
      <c r="A42" s="63" t="str">
        <f t="shared" si="0"/>
        <v/>
      </c>
      <c r="B42" s="64">
        <v>43</v>
      </c>
      <c r="C42" s="65"/>
      <c r="D42" s="66"/>
      <c r="E42" s="67"/>
      <c r="F42" s="64"/>
      <c r="G42" s="68"/>
      <c r="H42" s="69"/>
      <c r="I42" s="70"/>
      <c r="J42" s="64"/>
      <c r="K42" s="64"/>
      <c r="L42" s="71"/>
      <c r="M42" s="68"/>
      <c r="N42" s="68"/>
      <c r="O42" s="72"/>
      <c r="P42" s="72"/>
      <c r="Q42" s="73"/>
    </row>
    <row r="43" spans="1:17" s="63" customFormat="1" ht="16">
      <c r="A43" s="63" t="str">
        <f t="shared" si="0"/>
        <v/>
      </c>
      <c r="B43" s="64">
        <v>44</v>
      </c>
      <c r="C43" s="65"/>
      <c r="D43" s="66"/>
      <c r="E43" s="67"/>
      <c r="F43" s="64"/>
      <c r="G43" s="68"/>
      <c r="H43" s="69"/>
      <c r="I43" s="70"/>
      <c r="J43" s="64"/>
      <c r="K43" s="64"/>
      <c r="L43" s="71"/>
      <c r="M43" s="68"/>
      <c r="N43" s="68"/>
      <c r="O43" s="72"/>
      <c r="P43" s="72"/>
      <c r="Q43" s="73"/>
    </row>
    <row r="44" spans="1:17" s="63" customFormat="1" ht="16">
      <c r="A44" s="63" t="str">
        <f t="shared" si="0"/>
        <v/>
      </c>
      <c r="B44" s="64">
        <v>45</v>
      </c>
      <c r="C44" s="65"/>
      <c r="D44" s="66"/>
      <c r="E44" s="67"/>
      <c r="F44" s="64"/>
      <c r="G44" s="68"/>
      <c r="H44" s="69"/>
      <c r="I44" s="70"/>
      <c r="J44" s="64"/>
      <c r="K44" s="64"/>
      <c r="L44" s="71"/>
      <c r="M44" s="68"/>
      <c r="N44" s="68"/>
      <c r="O44" s="72"/>
      <c r="P44" s="72"/>
      <c r="Q44" s="73"/>
    </row>
    <row r="45" spans="1:17" s="63" customFormat="1" ht="16">
      <c r="A45" s="63" t="str">
        <f t="shared" si="0"/>
        <v/>
      </c>
      <c r="B45" s="64">
        <v>46</v>
      </c>
      <c r="C45" s="65"/>
      <c r="D45" s="66"/>
      <c r="E45" s="67"/>
      <c r="F45" s="64"/>
      <c r="G45" s="68"/>
      <c r="H45" s="69"/>
      <c r="I45" s="70"/>
      <c r="J45" s="64"/>
      <c r="K45" s="64"/>
      <c r="L45" s="71"/>
      <c r="M45" s="68"/>
      <c r="N45" s="68"/>
      <c r="O45" s="72"/>
      <c r="P45" s="72"/>
      <c r="Q45" s="73"/>
    </row>
    <row r="46" spans="1:17" s="63" customFormat="1" ht="16">
      <c r="A46" s="63" t="str">
        <f t="shared" si="0"/>
        <v/>
      </c>
      <c r="B46" s="64">
        <v>47</v>
      </c>
      <c r="C46" s="65"/>
      <c r="D46" s="66"/>
      <c r="E46" s="67"/>
      <c r="F46" s="64"/>
      <c r="G46" s="68"/>
      <c r="H46" s="69"/>
      <c r="I46" s="70"/>
      <c r="J46" s="64"/>
      <c r="K46" s="64"/>
      <c r="L46" s="71"/>
      <c r="M46" s="68"/>
      <c r="N46" s="68"/>
      <c r="O46" s="72"/>
      <c r="P46" s="72"/>
      <c r="Q46" s="73"/>
    </row>
    <row r="47" spans="1:17" s="63" customFormat="1">
      <c r="A47" s="63" t="str">
        <f t="shared" si="0"/>
        <v/>
      </c>
      <c r="B47" s="64">
        <v>48</v>
      </c>
      <c r="C47" s="64"/>
      <c r="D47" s="66"/>
      <c r="E47" s="67"/>
      <c r="F47" s="64"/>
      <c r="G47" s="68"/>
      <c r="H47" s="69"/>
      <c r="I47" s="70"/>
      <c r="J47" s="64"/>
      <c r="K47" s="64"/>
      <c r="L47" s="71"/>
      <c r="M47" s="68"/>
      <c r="N47" s="68"/>
      <c r="O47" s="74"/>
      <c r="P47" s="75"/>
      <c r="Q47" s="76"/>
    </row>
    <row r="48" spans="1:17" s="63" customFormat="1">
      <c r="A48" s="63" t="str">
        <f t="shared" si="0"/>
        <v/>
      </c>
      <c r="B48" s="64">
        <v>49</v>
      </c>
      <c r="C48" s="64"/>
      <c r="D48" s="66"/>
      <c r="E48" s="67"/>
      <c r="F48" s="64"/>
      <c r="G48" s="68"/>
      <c r="H48" s="69"/>
      <c r="I48" s="70"/>
      <c r="J48" s="64"/>
      <c r="K48" s="64"/>
      <c r="L48" s="71"/>
      <c r="M48" s="68"/>
      <c r="N48" s="68"/>
      <c r="O48" s="74"/>
      <c r="P48" s="75"/>
      <c r="Q48" s="76"/>
    </row>
    <row r="49" spans="1:17" s="63" customFormat="1">
      <c r="A49" s="63" t="str">
        <f t="shared" si="0"/>
        <v/>
      </c>
      <c r="B49" s="64">
        <v>50</v>
      </c>
      <c r="C49" s="64"/>
      <c r="D49" s="66"/>
      <c r="E49" s="67"/>
      <c r="F49" s="64"/>
      <c r="G49" s="68"/>
      <c r="H49" s="69"/>
      <c r="I49" s="70"/>
      <c r="J49" s="64"/>
      <c r="K49" s="64"/>
      <c r="L49" s="71"/>
      <c r="M49" s="68"/>
      <c r="N49" s="68"/>
      <c r="O49" s="74"/>
      <c r="P49" s="75"/>
      <c r="Q49" s="76"/>
    </row>
    <row r="50" spans="1:17" s="63" customFormat="1">
      <c r="A50" s="63" t="str">
        <f t="shared" si="0"/>
        <v/>
      </c>
      <c r="B50" s="64">
        <v>51</v>
      </c>
      <c r="C50" s="64"/>
      <c r="D50" s="66"/>
      <c r="E50" s="67"/>
      <c r="F50" s="64"/>
      <c r="G50" s="68"/>
      <c r="H50" s="69"/>
      <c r="I50" s="70"/>
      <c r="J50" s="64"/>
      <c r="K50" s="64"/>
      <c r="L50" s="71"/>
      <c r="M50" s="68"/>
      <c r="N50" s="68"/>
      <c r="O50" s="74"/>
      <c r="P50" s="75"/>
      <c r="Q50" s="76"/>
    </row>
    <row r="51" spans="1:17" s="63" customFormat="1">
      <c r="A51" s="63" t="str">
        <f t="shared" si="0"/>
        <v/>
      </c>
      <c r="B51" s="64">
        <v>52</v>
      </c>
      <c r="C51" s="64"/>
      <c r="D51" s="66"/>
      <c r="E51" s="67"/>
      <c r="F51" s="64"/>
      <c r="G51" s="68"/>
      <c r="H51" s="69"/>
      <c r="I51" s="70"/>
      <c r="J51" s="64"/>
      <c r="K51" s="64"/>
      <c r="L51" s="71"/>
      <c r="M51" s="68"/>
      <c r="N51" s="68"/>
      <c r="O51" s="74"/>
      <c r="P51" s="75"/>
      <c r="Q51" s="76"/>
    </row>
    <row r="52" spans="1:17" s="63" customFormat="1" ht="16">
      <c r="A52" s="63" t="str">
        <f t="shared" si="0"/>
        <v/>
      </c>
      <c r="B52" s="64">
        <v>53</v>
      </c>
      <c r="C52" s="64"/>
      <c r="D52" s="66"/>
      <c r="E52" s="67"/>
      <c r="F52" s="64"/>
      <c r="G52" s="68"/>
      <c r="H52" s="69"/>
      <c r="I52" s="70"/>
      <c r="J52" s="64"/>
      <c r="K52" s="64"/>
      <c r="L52" s="71"/>
      <c r="M52" s="68"/>
      <c r="N52" s="68"/>
      <c r="O52" s="72"/>
      <c r="P52" s="72"/>
      <c r="Q52" s="73"/>
    </row>
    <row r="53" spans="1:17" s="63" customFormat="1" ht="16">
      <c r="A53" s="63" t="str">
        <f t="shared" si="0"/>
        <v/>
      </c>
      <c r="B53" s="64">
        <v>54</v>
      </c>
      <c r="C53" s="64"/>
      <c r="D53" s="66"/>
      <c r="E53" s="67"/>
      <c r="F53" s="64"/>
      <c r="G53" s="68"/>
      <c r="H53" s="69"/>
      <c r="I53" s="70"/>
      <c r="J53" s="64"/>
      <c r="K53" s="64"/>
      <c r="L53" s="71"/>
      <c r="M53" s="68"/>
      <c r="N53" s="68"/>
      <c r="O53" s="72"/>
      <c r="P53" s="72"/>
      <c r="Q53" s="73"/>
    </row>
    <row r="54" spans="1:17" s="63" customFormat="1">
      <c r="A54" s="63" t="str">
        <f t="shared" si="0"/>
        <v/>
      </c>
      <c r="B54" s="64">
        <v>55</v>
      </c>
      <c r="C54" s="64"/>
      <c r="D54" s="66"/>
      <c r="E54" s="67"/>
      <c r="F54" s="64"/>
      <c r="G54" s="68"/>
      <c r="H54" s="69"/>
      <c r="I54" s="70"/>
      <c r="J54" s="64"/>
      <c r="K54" s="64"/>
      <c r="L54" s="71"/>
      <c r="M54" s="68"/>
      <c r="N54" s="68"/>
      <c r="O54" s="74"/>
      <c r="P54" s="75"/>
      <c r="Q54" s="76"/>
    </row>
    <row r="55" spans="1:17" s="63" customFormat="1">
      <c r="A55" s="63" t="str">
        <f t="shared" si="0"/>
        <v/>
      </c>
      <c r="B55" s="64">
        <v>56</v>
      </c>
      <c r="C55" s="64"/>
      <c r="D55" s="66"/>
      <c r="E55" s="67"/>
      <c r="F55" s="64"/>
      <c r="G55" s="68"/>
      <c r="H55" s="69"/>
      <c r="I55" s="70"/>
      <c r="J55" s="64"/>
      <c r="K55" s="64"/>
      <c r="L55" s="71"/>
      <c r="M55" s="68"/>
      <c r="N55" s="68"/>
      <c r="O55" s="74"/>
      <c r="P55" s="75"/>
      <c r="Q55" s="76"/>
    </row>
    <row r="56" spans="1:17" s="63" customFormat="1">
      <c r="A56" s="63" t="str">
        <f t="shared" si="0"/>
        <v/>
      </c>
      <c r="B56" s="64">
        <v>57</v>
      </c>
      <c r="C56" s="64"/>
      <c r="D56" s="66"/>
      <c r="E56" s="67"/>
      <c r="F56" s="64"/>
      <c r="G56" s="68"/>
      <c r="H56" s="69"/>
      <c r="I56" s="70"/>
      <c r="J56" s="64"/>
      <c r="K56" s="64"/>
      <c r="L56" s="71"/>
      <c r="M56" s="68"/>
      <c r="N56" s="68"/>
      <c r="O56" s="74"/>
      <c r="P56" s="75"/>
      <c r="Q56" s="76"/>
    </row>
    <row r="57" spans="1:17" s="63" customFormat="1" ht="16">
      <c r="A57" s="63" t="str">
        <f t="shared" si="0"/>
        <v/>
      </c>
      <c r="B57" s="64">
        <v>58</v>
      </c>
      <c r="C57" s="64"/>
      <c r="D57" s="66"/>
      <c r="E57" s="67"/>
      <c r="F57" s="64"/>
      <c r="G57" s="68"/>
      <c r="H57" s="69"/>
      <c r="I57" s="70"/>
      <c r="J57" s="64"/>
      <c r="K57" s="64"/>
      <c r="L57" s="71"/>
      <c r="M57" s="68"/>
      <c r="N57" s="68"/>
      <c r="O57" s="72"/>
      <c r="P57" s="72"/>
      <c r="Q57" s="73"/>
    </row>
    <row r="58" spans="1:17" s="63" customFormat="1">
      <c r="A58" s="63" t="str">
        <f t="shared" si="0"/>
        <v/>
      </c>
      <c r="B58" s="64">
        <v>59</v>
      </c>
      <c r="C58" s="64"/>
      <c r="D58" s="66"/>
      <c r="E58" s="67"/>
      <c r="F58" s="64"/>
      <c r="G58" s="68"/>
      <c r="H58" s="69"/>
      <c r="I58" s="70"/>
      <c r="J58" s="64"/>
      <c r="K58" s="64"/>
      <c r="L58" s="71"/>
      <c r="M58" s="68"/>
      <c r="N58" s="68"/>
      <c r="O58" s="72"/>
      <c r="P58" s="75"/>
      <c r="Q58" s="76"/>
    </row>
    <row r="59" spans="1:17" s="63" customFormat="1">
      <c r="A59" s="63" t="str">
        <f t="shared" si="0"/>
        <v/>
      </c>
      <c r="B59" s="64">
        <v>60</v>
      </c>
      <c r="C59" s="64"/>
      <c r="D59" s="66"/>
      <c r="E59" s="67"/>
      <c r="F59" s="64"/>
      <c r="G59" s="68"/>
      <c r="H59" s="69"/>
      <c r="I59" s="70"/>
      <c r="J59" s="64"/>
      <c r="K59" s="64"/>
      <c r="L59" s="71"/>
      <c r="M59" s="68"/>
      <c r="N59" s="68"/>
      <c r="O59" s="72"/>
      <c r="P59" s="75"/>
      <c r="Q59" s="76"/>
    </row>
    <row r="60" spans="1:17" s="63" customFormat="1" ht="16">
      <c r="A60" s="63" t="str">
        <f t="shared" si="0"/>
        <v/>
      </c>
      <c r="B60" s="64">
        <v>61</v>
      </c>
      <c r="C60" s="64"/>
      <c r="D60" s="66"/>
      <c r="E60" s="67"/>
      <c r="F60" s="64"/>
      <c r="G60" s="68"/>
      <c r="H60" s="69"/>
      <c r="I60" s="70"/>
      <c r="J60" s="64"/>
      <c r="K60" s="64"/>
      <c r="L60" s="71"/>
      <c r="M60" s="68"/>
      <c r="N60" s="68"/>
      <c r="O60" s="72"/>
      <c r="P60" s="72"/>
      <c r="Q60" s="73"/>
    </row>
    <row r="61" spans="1:17" s="63" customFormat="1">
      <c r="A61" s="63" t="str">
        <f t="shared" si="0"/>
        <v/>
      </c>
      <c r="B61" s="64">
        <v>62</v>
      </c>
      <c r="C61" s="64"/>
      <c r="D61" s="66"/>
      <c r="E61" s="67"/>
      <c r="F61" s="64"/>
      <c r="G61" s="68"/>
      <c r="H61" s="69"/>
      <c r="I61" s="70"/>
      <c r="J61" s="64"/>
      <c r="K61" s="64"/>
      <c r="L61" s="71"/>
      <c r="M61" s="68"/>
      <c r="N61" s="68"/>
      <c r="O61" s="74"/>
      <c r="P61" s="75"/>
      <c r="Q61" s="76"/>
    </row>
    <row r="62" spans="1:17" s="63" customFormat="1">
      <c r="A62" s="63" t="str">
        <f t="shared" si="0"/>
        <v/>
      </c>
      <c r="B62" s="64">
        <v>63</v>
      </c>
      <c r="C62" s="64"/>
      <c r="D62" s="66"/>
      <c r="E62" s="67"/>
      <c r="F62" s="64"/>
      <c r="G62" s="68"/>
      <c r="H62" s="69"/>
      <c r="I62" s="70"/>
      <c r="J62" s="64"/>
      <c r="K62" s="64"/>
      <c r="L62" s="71"/>
      <c r="M62" s="68"/>
      <c r="N62" s="68"/>
      <c r="O62" s="74"/>
      <c r="P62" s="75"/>
      <c r="Q62" s="76"/>
    </row>
    <row r="63" spans="1:17" s="63" customFormat="1" ht="16">
      <c r="A63" s="63" t="str">
        <f t="shared" si="0"/>
        <v/>
      </c>
      <c r="B63" s="64">
        <v>64</v>
      </c>
      <c r="C63" s="64"/>
      <c r="D63" s="66"/>
      <c r="E63" s="67"/>
      <c r="F63" s="64"/>
      <c r="G63" s="68"/>
      <c r="H63" s="69"/>
      <c r="I63" s="70"/>
      <c r="J63" s="64"/>
      <c r="K63" s="64"/>
      <c r="L63" s="71"/>
      <c r="M63" s="68"/>
      <c r="N63" s="68"/>
      <c r="O63" s="74"/>
      <c r="P63" s="75"/>
      <c r="Q63" s="73"/>
    </row>
    <row r="64" spans="1:17" s="63" customFormat="1" ht="16">
      <c r="A64" s="63" t="str">
        <f t="shared" si="0"/>
        <v/>
      </c>
      <c r="B64" s="64">
        <v>65</v>
      </c>
      <c r="C64" s="64"/>
      <c r="D64" s="66"/>
      <c r="E64" s="67"/>
      <c r="F64" s="64"/>
      <c r="G64" s="68"/>
      <c r="H64" s="69"/>
      <c r="I64" s="70"/>
      <c r="J64" s="64"/>
      <c r="K64" s="64"/>
      <c r="L64" s="71"/>
      <c r="M64" s="68"/>
      <c r="N64" s="68"/>
      <c r="O64" s="74"/>
      <c r="P64" s="75"/>
      <c r="Q64" s="73"/>
    </row>
    <row r="65" spans="1:17" s="63" customFormat="1" ht="16">
      <c r="A65" s="63" t="str">
        <f t="shared" si="0"/>
        <v/>
      </c>
      <c r="B65" s="64">
        <v>66</v>
      </c>
      <c r="C65" s="64"/>
      <c r="D65" s="66"/>
      <c r="E65" s="67"/>
      <c r="F65" s="64"/>
      <c r="G65" s="68"/>
      <c r="H65" s="69"/>
      <c r="I65" s="70"/>
      <c r="J65" s="64"/>
      <c r="K65" s="64"/>
      <c r="L65" s="71"/>
      <c r="M65" s="68"/>
      <c r="N65" s="68"/>
      <c r="O65" s="78"/>
      <c r="P65" s="79"/>
      <c r="Q65" s="73"/>
    </row>
    <row r="66" spans="1:17" s="63" customFormat="1" ht="16">
      <c r="A66" s="63" t="str">
        <f t="shared" si="0"/>
        <v/>
      </c>
      <c r="B66" s="64">
        <v>70</v>
      </c>
      <c r="C66" s="64"/>
      <c r="D66" s="66"/>
      <c r="E66" s="67"/>
      <c r="F66" s="64"/>
      <c r="G66" s="68"/>
      <c r="H66" s="69"/>
      <c r="I66" s="70"/>
      <c r="J66" s="64"/>
      <c r="K66" s="64"/>
      <c r="L66" s="71"/>
      <c r="M66" s="68"/>
      <c r="N66" s="68"/>
      <c r="O66" s="74"/>
      <c r="P66" s="75"/>
      <c r="Q66" s="73"/>
    </row>
    <row r="67" spans="1:17" s="63" customFormat="1" ht="16">
      <c r="A67" s="63" t="str">
        <f t="shared" si="0"/>
        <v/>
      </c>
      <c r="B67" s="64">
        <v>71</v>
      </c>
      <c r="C67" s="64"/>
      <c r="D67" s="66"/>
      <c r="E67" s="67"/>
      <c r="F67" s="64"/>
      <c r="G67" s="68"/>
      <c r="H67" s="69"/>
      <c r="I67" s="70"/>
      <c r="J67" s="64"/>
      <c r="K67" s="64"/>
      <c r="L67" s="71"/>
      <c r="M67" s="68"/>
      <c r="N67" s="77"/>
      <c r="O67" s="74"/>
      <c r="P67" s="75"/>
      <c r="Q67" s="73"/>
    </row>
    <row r="68" spans="1:17" s="63" customFormat="1" ht="16">
      <c r="A68" s="63" t="str">
        <f t="shared" ref="A68:A70" si="1">C68&amp;E68</f>
        <v/>
      </c>
      <c r="B68" s="64">
        <v>72</v>
      </c>
      <c r="C68" s="64"/>
      <c r="D68" s="66"/>
      <c r="E68" s="67"/>
      <c r="F68" s="64"/>
      <c r="G68" s="68"/>
      <c r="H68" s="69"/>
      <c r="I68" s="70"/>
      <c r="J68" s="64"/>
      <c r="K68" s="64"/>
      <c r="L68" s="71"/>
      <c r="M68" s="68"/>
      <c r="N68" s="68"/>
      <c r="O68" s="74"/>
      <c r="P68" s="75"/>
      <c r="Q68" s="73"/>
    </row>
    <row r="69" spans="1:17" s="63" customFormat="1" ht="16">
      <c r="A69" s="63" t="str">
        <f t="shared" si="1"/>
        <v/>
      </c>
      <c r="B69" s="64">
        <v>73</v>
      </c>
      <c r="C69" s="64"/>
      <c r="D69" s="66"/>
      <c r="E69" s="67"/>
      <c r="F69" s="64"/>
      <c r="G69" s="68"/>
      <c r="H69" s="69"/>
      <c r="I69" s="70"/>
      <c r="J69" s="64"/>
      <c r="K69" s="64"/>
      <c r="L69" s="71"/>
      <c r="M69" s="68"/>
      <c r="N69" s="77"/>
      <c r="O69" s="74"/>
      <c r="P69" s="75"/>
      <c r="Q69" s="73"/>
    </row>
    <row r="70" spans="1:17" s="63" customFormat="1" ht="16">
      <c r="A70" s="63" t="str">
        <f t="shared" si="1"/>
        <v/>
      </c>
      <c r="B70" s="64">
        <v>74</v>
      </c>
      <c r="C70" s="64"/>
      <c r="D70" s="66"/>
      <c r="E70" s="67"/>
      <c r="F70" s="64"/>
      <c r="G70" s="68"/>
      <c r="H70" s="69"/>
      <c r="I70" s="70"/>
      <c r="J70" s="64"/>
      <c r="K70" s="64"/>
      <c r="L70" s="71"/>
      <c r="M70" s="68"/>
      <c r="N70" s="68"/>
      <c r="O70" s="74"/>
      <c r="P70" s="75"/>
      <c r="Q70" s="73"/>
    </row>
    <row r="71" spans="1:17">
      <c r="B71" s="80"/>
      <c r="C71" s="80"/>
      <c r="D71" s="81"/>
      <c r="E71" s="82"/>
      <c r="F71" s="80"/>
      <c r="G71" s="83"/>
      <c r="H71" s="84"/>
      <c r="I71" s="85"/>
      <c r="J71" s="80"/>
      <c r="K71" s="80"/>
      <c r="L71" s="86"/>
      <c r="M71" s="83"/>
      <c r="N71" s="87"/>
      <c r="O71" s="88"/>
      <c r="P71" s="89"/>
      <c r="Q71" s="90"/>
    </row>
    <row r="72" spans="1:17">
      <c r="B72" s="80"/>
      <c r="C72" s="80"/>
      <c r="D72" s="81"/>
      <c r="E72" s="82"/>
      <c r="F72" s="80"/>
      <c r="G72" s="83"/>
      <c r="H72" s="84"/>
      <c r="I72" s="85"/>
      <c r="J72" s="80"/>
      <c r="K72" s="80"/>
      <c r="L72" s="86"/>
      <c r="M72" s="83"/>
      <c r="N72" s="87"/>
      <c r="O72" s="91"/>
      <c r="P72" s="92"/>
      <c r="Q72" s="90"/>
    </row>
    <row r="73" spans="1:17">
      <c r="B73" s="80"/>
      <c r="C73" s="80"/>
      <c r="D73" s="81"/>
      <c r="E73" s="82"/>
      <c r="F73" s="80"/>
      <c r="G73" s="83"/>
      <c r="H73" s="84"/>
      <c r="I73" s="85"/>
      <c r="J73" s="80"/>
      <c r="K73" s="80"/>
      <c r="L73" s="86"/>
      <c r="M73" s="83"/>
      <c r="N73" s="83"/>
      <c r="O73" s="88"/>
      <c r="P73" s="89"/>
      <c r="Q73" s="90"/>
    </row>
    <row r="74" spans="1:17">
      <c r="B74" s="80"/>
      <c r="C74" s="80"/>
      <c r="D74" s="81"/>
      <c r="E74" s="82"/>
      <c r="F74" s="80"/>
      <c r="G74" s="83"/>
      <c r="H74" s="84"/>
      <c r="I74" s="85"/>
      <c r="J74" s="80"/>
      <c r="K74" s="80"/>
      <c r="L74" s="86"/>
      <c r="M74" s="83"/>
      <c r="N74" s="87"/>
      <c r="O74" s="91"/>
      <c r="P74" s="92"/>
      <c r="Q74" s="90"/>
    </row>
    <row r="75" spans="1:17">
      <c r="B75" s="80"/>
      <c r="C75" s="80"/>
      <c r="D75" s="81"/>
      <c r="E75" s="93"/>
      <c r="F75" s="80"/>
      <c r="G75" s="83"/>
      <c r="H75" s="84"/>
      <c r="I75" s="85"/>
      <c r="J75" s="80"/>
      <c r="K75" s="80"/>
      <c r="L75" s="86"/>
      <c r="M75" s="83"/>
      <c r="N75" s="83"/>
      <c r="O75" s="88"/>
      <c r="P75" s="89"/>
      <c r="Q75" s="90"/>
    </row>
    <row r="76" spans="1:17">
      <c r="B76" s="80"/>
      <c r="C76" s="94"/>
      <c r="D76" s="81"/>
      <c r="E76" s="93"/>
      <c r="F76" s="80"/>
      <c r="G76" s="83"/>
      <c r="H76" s="84"/>
      <c r="I76" s="85"/>
      <c r="J76" s="80"/>
      <c r="K76" s="80"/>
      <c r="L76" s="86"/>
      <c r="M76" s="83"/>
      <c r="N76" s="83"/>
      <c r="O76" s="91"/>
      <c r="P76" s="92"/>
      <c r="Q76" s="90"/>
    </row>
    <row r="77" spans="1:17">
      <c r="B77" s="80"/>
      <c r="C77" s="80"/>
      <c r="D77" s="81"/>
      <c r="E77" s="93"/>
      <c r="F77" s="80"/>
      <c r="G77" s="83"/>
      <c r="H77" s="84"/>
      <c r="I77" s="85"/>
      <c r="J77" s="80"/>
      <c r="K77" s="80"/>
      <c r="L77" s="86"/>
      <c r="M77" s="83"/>
      <c r="N77" s="83"/>
      <c r="O77" s="88"/>
      <c r="P77" s="89"/>
      <c r="Q77" s="90"/>
    </row>
    <row r="78" spans="1:17">
      <c r="B78" s="80"/>
      <c r="C78" s="80"/>
      <c r="D78" s="81"/>
      <c r="E78" s="82"/>
      <c r="F78" s="80"/>
      <c r="G78" s="83"/>
      <c r="H78" s="84"/>
      <c r="I78" s="85"/>
      <c r="J78" s="80"/>
      <c r="K78" s="80"/>
      <c r="L78" s="86"/>
      <c r="M78" s="83"/>
      <c r="N78" s="83"/>
      <c r="O78" s="91"/>
      <c r="P78" s="92"/>
      <c r="Q78" s="90"/>
    </row>
    <row r="79" spans="1:17">
      <c r="B79" s="80"/>
      <c r="C79" s="80"/>
      <c r="D79" s="81"/>
      <c r="E79" s="82"/>
      <c r="F79" s="80"/>
      <c r="G79" s="83"/>
      <c r="H79" s="84"/>
      <c r="I79" s="85"/>
      <c r="J79" s="80"/>
      <c r="K79" s="80"/>
      <c r="L79" s="86"/>
      <c r="M79" s="83"/>
      <c r="N79" s="87"/>
      <c r="O79" s="88"/>
      <c r="P79" s="89"/>
      <c r="Q79" s="90"/>
    </row>
    <row r="80" spans="1:17">
      <c r="B80" s="80"/>
      <c r="C80" s="80"/>
      <c r="D80" s="81"/>
      <c r="E80" s="82"/>
      <c r="F80" s="80"/>
      <c r="G80" s="83"/>
      <c r="H80" s="84"/>
      <c r="I80" s="85"/>
      <c r="J80" s="80"/>
      <c r="K80" s="80"/>
      <c r="L80" s="86"/>
      <c r="M80" s="83"/>
      <c r="N80" s="83"/>
      <c r="O80" s="88"/>
      <c r="P80" s="89"/>
      <c r="Q80" s="90"/>
    </row>
    <row r="81" spans="2:17">
      <c r="B81" s="80"/>
      <c r="C81" s="80"/>
      <c r="D81" s="81"/>
      <c r="E81" s="82"/>
      <c r="F81" s="80"/>
      <c r="G81" s="83"/>
      <c r="H81" s="84"/>
      <c r="I81" s="85"/>
      <c r="J81" s="80"/>
      <c r="K81" s="80"/>
      <c r="L81" s="86"/>
      <c r="M81" s="83"/>
      <c r="N81" s="83"/>
      <c r="O81" s="91"/>
      <c r="P81" s="92"/>
      <c r="Q81" s="90"/>
    </row>
    <row r="82" spans="2:17">
      <c r="B82" s="80"/>
      <c r="C82" s="80"/>
      <c r="D82" s="81"/>
      <c r="E82" s="93"/>
      <c r="F82" s="80"/>
      <c r="G82" s="83"/>
      <c r="H82" s="84"/>
      <c r="I82" s="85"/>
      <c r="J82" s="80"/>
      <c r="K82" s="80"/>
      <c r="L82" s="86"/>
      <c r="M82" s="83"/>
      <c r="N82" s="83"/>
      <c r="O82" s="88"/>
      <c r="P82" s="89"/>
      <c r="Q82" s="90"/>
    </row>
    <row r="83" spans="2:17">
      <c r="B83" s="80"/>
      <c r="C83" s="94"/>
      <c r="D83" s="81"/>
      <c r="E83" s="82"/>
      <c r="F83" s="80"/>
      <c r="G83" s="83"/>
      <c r="H83" s="84"/>
      <c r="I83" s="85"/>
      <c r="J83" s="80"/>
      <c r="K83" s="80"/>
      <c r="L83" s="86"/>
      <c r="M83" s="83"/>
      <c r="N83" s="87"/>
      <c r="O83" s="91"/>
      <c r="P83" s="92"/>
      <c r="Q83" s="90"/>
    </row>
    <row r="84" spans="2:17">
      <c r="B84" s="80"/>
      <c r="C84" s="80"/>
      <c r="D84" s="81"/>
      <c r="E84" s="82"/>
      <c r="F84" s="80"/>
      <c r="G84" s="83"/>
      <c r="H84" s="84"/>
      <c r="I84" s="85"/>
      <c r="J84" s="80"/>
      <c r="K84" s="80"/>
      <c r="L84" s="86"/>
      <c r="M84" s="83"/>
      <c r="N84" s="83"/>
      <c r="O84" s="88"/>
      <c r="P84" s="89"/>
      <c r="Q84" s="90"/>
    </row>
    <row r="85" spans="2:17">
      <c r="B85" s="80"/>
      <c r="C85" s="94"/>
      <c r="D85" s="81"/>
      <c r="E85" s="93"/>
      <c r="F85" s="80"/>
      <c r="G85" s="83"/>
      <c r="H85" s="84"/>
      <c r="I85" s="85"/>
      <c r="J85" s="80"/>
      <c r="K85" s="80"/>
      <c r="L85" s="86"/>
      <c r="M85" s="83"/>
      <c r="N85" s="83"/>
      <c r="O85" s="91"/>
      <c r="P85" s="92"/>
      <c r="Q85" s="90"/>
    </row>
    <row r="86" spans="2:17">
      <c r="B86" s="80"/>
      <c r="C86" s="80"/>
      <c r="D86" s="81"/>
      <c r="E86" s="82"/>
      <c r="F86" s="80"/>
      <c r="G86" s="83"/>
      <c r="H86" s="84"/>
      <c r="I86" s="85"/>
      <c r="J86" s="80"/>
      <c r="K86" s="80"/>
      <c r="L86" s="86"/>
      <c r="M86" s="83"/>
      <c r="N86" s="87"/>
      <c r="O86" s="88"/>
      <c r="P86" s="89"/>
      <c r="Q86" s="90"/>
    </row>
    <row r="87" spans="2:17" ht="15.5">
      <c r="B87" s="80"/>
      <c r="C87" s="80"/>
      <c r="D87" s="81"/>
      <c r="E87" s="93"/>
      <c r="F87" s="80"/>
      <c r="G87" s="83"/>
      <c r="H87" s="84"/>
      <c r="I87" s="85"/>
      <c r="J87" s="80"/>
      <c r="K87" s="80"/>
      <c r="L87" s="86"/>
      <c r="M87" s="83"/>
      <c r="N87" s="95"/>
      <c r="O87" s="91"/>
      <c r="P87" s="92"/>
      <c r="Q87" s="90"/>
    </row>
    <row r="88" spans="2:17" ht="15.5">
      <c r="B88" s="80"/>
      <c r="C88" s="80"/>
      <c r="D88" s="81"/>
      <c r="E88" s="93"/>
      <c r="F88" s="80"/>
      <c r="G88" s="83"/>
      <c r="H88" s="84"/>
      <c r="I88" s="85"/>
      <c r="J88" s="80"/>
      <c r="K88" s="80"/>
      <c r="L88" s="86"/>
      <c r="M88" s="83"/>
      <c r="N88" s="95"/>
      <c r="O88" s="88"/>
      <c r="P88" s="89"/>
      <c r="Q88" s="90"/>
    </row>
    <row r="89" spans="2:17">
      <c r="B89" s="80"/>
      <c r="C89" s="80"/>
      <c r="D89" s="81"/>
      <c r="E89" s="82"/>
      <c r="F89" s="80"/>
      <c r="G89" s="83"/>
      <c r="H89" s="84"/>
      <c r="I89" s="85"/>
      <c r="J89" s="80"/>
      <c r="K89" s="80"/>
      <c r="L89" s="86"/>
      <c r="M89" s="83"/>
      <c r="N89" s="87"/>
      <c r="O89" s="91"/>
      <c r="P89" s="92"/>
      <c r="Q89" s="90"/>
    </row>
    <row r="90" spans="2:17">
      <c r="B90" s="80"/>
      <c r="C90" s="94"/>
      <c r="D90" s="81"/>
      <c r="E90" s="82"/>
      <c r="F90" s="80"/>
      <c r="G90" s="83"/>
      <c r="H90" s="84"/>
      <c r="I90" s="85"/>
      <c r="J90" s="80"/>
      <c r="K90" s="80"/>
      <c r="L90" s="86"/>
      <c r="M90" s="83"/>
      <c r="N90" s="83"/>
      <c r="O90" s="88"/>
      <c r="P90" s="89"/>
      <c r="Q90" s="90"/>
    </row>
    <row r="91" spans="2:17">
      <c r="B91" s="80"/>
      <c r="C91" s="80"/>
      <c r="D91" s="81"/>
      <c r="E91" s="82"/>
      <c r="F91" s="80"/>
      <c r="G91" s="83"/>
      <c r="H91" s="84"/>
      <c r="I91" s="85"/>
      <c r="J91" s="80"/>
      <c r="K91" s="80"/>
      <c r="L91" s="86"/>
      <c r="M91" s="83"/>
      <c r="N91" s="87"/>
      <c r="O91" s="91"/>
      <c r="P91" s="92"/>
      <c r="Q91" s="90"/>
    </row>
    <row r="92" spans="2:17">
      <c r="B92" s="80"/>
      <c r="C92" s="80"/>
      <c r="D92" s="81"/>
      <c r="E92" s="82"/>
      <c r="F92" s="80"/>
      <c r="G92" s="83"/>
      <c r="H92" s="84"/>
      <c r="I92" s="85"/>
      <c r="J92" s="80"/>
      <c r="K92" s="80"/>
      <c r="L92" s="86"/>
      <c r="M92" s="83"/>
      <c r="N92" s="87"/>
      <c r="O92" s="88"/>
      <c r="P92" s="89"/>
      <c r="Q92" s="90"/>
    </row>
    <row r="93" spans="2:17">
      <c r="B93" s="80"/>
      <c r="C93" s="80"/>
      <c r="D93" s="81"/>
      <c r="E93" s="82"/>
      <c r="F93" s="80"/>
      <c r="G93" s="83"/>
      <c r="H93" s="84"/>
      <c r="I93" s="85"/>
      <c r="J93" s="80"/>
      <c r="K93" s="80"/>
      <c r="L93" s="86"/>
      <c r="M93" s="83"/>
      <c r="N93" s="83"/>
      <c r="O93" s="88"/>
      <c r="P93" s="89"/>
      <c r="Q93" s="90"/>
    </row>
    <row r="94" spans="2:17">
      <c r="B94" s="80"/>
      <c r="C94" s="80"/>
      <c r="D94" s="81"/>
      <c r="E94" s="82"/>
      <c r="F94" s="80"/>
      <c r="G94" s="83"/>
      <c r="H94" s="84"/>
      <c r="I94" s="85"/>
      <c r="J94" s="80"/>
      <c r="K94" s="80"/>
      <c r="L94" s="86"/>
      <c r="M94" s="83"/>
      <c r="N94" s="87"/>
      <c r="O94" s="91"/>
      <c r="P94" s="92"/>
      <c r="Q94" s="90"/>
    </row>
    <row r="95" spans="2:17">
      <c r="B95" s="80"/>
      <c r="C95" s="94"/>
      <c r="D95" s="81"/>
      <c r="E95" s="82"/>
      <c r="F95" s="80"/>
      <c r="G95" s="83"/>
      <c r="H95" s="84"/>
      <c r="I95" s="85"/>
      <c r="J95" s="80"/>
      <c r="K95" s="80"/>
      <c r="L95" s="86"/>
      <c r="M95" s="83"/>
      <c r="N95" s="83"/>
      <c r="O95" s="88"/>
      <c r="P95" s="89"/>
      <c r="Q95" s="90"/>
    </row>
    <row r="96" spans="2:17">
      <c r="B96" s="80"/>
      <c r="C96" s="80"/>
      <c r="D96" s="81"/>
      <c r="E96" s="82"/>
      <c r="F96" s="80"/>
      <c r="G96" s="83"/>
      <c r="H96" s="84"/>
      <c r="I96" s="85"/>
      <c r="J96" s="80"/>
      <c r="K96" s="80"/>
      <c r="L96" s="86"/>
      <c r="M96" s="83"/>
      <c r="N96" s="83"/>
      <c r="O96" s="91"/>
      <c r="P96" s="92"/>
      <c r="Q96" s="90"/>
    </row>
    <row r="97" spans="2:17">
      <c r="B97" s="80"/>
      <c r="C97" s="80"/>
      <c r="D97" s="81"/>
      <c r="E97" s="82"/>
      <c r="F97" s="80"/>
      <c r="G97" s="83"/>
      <c r="H97" s="84"/>
      <c r="I97" s="85"/>
      <c r="J97" s="80"/>
      <c r="K97" s="80"/>
      <c r="L97" s="86"/>
      <c r="M97" s="83"/>
      <c r="N97" s="87"/>
      <c r="O97" s="88"/>
      <c r="P97" s="89"/>
      <c r="Q97" s="90"/>
    </row>
    <row r="98" spans="2:17">
      <c r="B98" s="80"/>
      <c r="C98" s="80"/>
      <c r="D98" s="81"/>
      <c r="E98" s="82"/>
      <c r="F98" s="80"/>
      <c r="G98" s="83"/>
      <c r="H98" s="84"/>
      <c r="I98" s="85"/>
      <c r="J98" s="80"/>
      <c r="K98" s="80"/>
      <c r="L98" s="86"/>
      <c r="M98" s="83"/>
      <c r="N98" s="87"/>
      <c r="O98" s="91"/>
      <c r="P98" s="92"/>
      <c r="Q98" s="90"/>
    </row>
    <row r="99" spans="2:17">
      <c r="B99" s="80"/>
      <c r="C99" s="80"/>
      <c r="D99" s="81"/>
      <c r="E99" s="82"/>
      <c r="F99" s="80"/>
      <c r="G99" s="83"/>
      <c r="H99" s="84"/>
      <c r="I99" s="85"/>
      <c r="J99" s="80"/>
      <c r="K99" s="80"/>
      <c r="L99" s="86"/>
      <c r="M99" s="83"/>
      <c r="N99" s="83"/>
      <c r="O99" s="88"/>
      <c r="P99" s="89"/>
      <c r="Q99" s="90"/>
    </row>
    <row r="100" spans="2:17">
      <c r="B100" s="80"/>
      <c r="C100" s="80"/>
      <c r="D100" s="81"/>
      <c r="E100" s="82"/>
      <c r="F100" s="80"/>
      <c r="G100" s="83"/>
      <c r="H100" s="84"/>
      <c r="I100" s="85"/>
      <c r="J100" s="80"/>
      <c r="K100" s="80"/>
      <c r="L100" s="86"/>
      <c r="M100" s="83"/>
      <c r="N100" s="83"/>
      <c r="O100" s="91"/>
      <c r="P100" s="92"/>
      <c r="Q100" s="90"/>
    </row>
    <row r="101" spans="2:17">
      <c r="B101" s="80"/>
      <c r="C101" s="80"/>
      <c r="D101" s="81"/>
      <c r="E101" s="82"/>
      <c r="F101" s="80"/>
      <c r="G101" s="83"/>
      <c r="H101" s="84"/>
      <c r="I101" s="85"/>
      <c r="J101" s="80"/>
      <c r="K101" s="80"/>
      <c r="L101" s="86"/>
      <c r="M101" s="83"/>
      <c r="N101" s="87"/>
      <c r="O101" s="88"/>
      <c r="P101" s="89"/>
      <c r="Q101" s="90"/>
    </row>
    <row r="102" spans="2:17">
      <c r="B102" s="80"/>
      <c r="C102" s="94"/>
      <c r="D102" s="81"/>
      <c r="E102" s="82"/>
      <c r="F102" s="80"/>
      <c r="G102" s="83"/>
      <c r="H102" s="84"/>
      <c r="I102" s="85"/>
      <c r="J102" s="80"/>
      <c r="K102" s="80"/>
      <c r="L102" s="86"/>
      <c r="M102" s="83"/>
      <c r="N102" s="83"/>
      <c r="O102" s="91"/>
      <c r="P102" s="92"/>
      <c r="Q102" s="90"/>
    </row>
    <row r="103" spans="2:17">
      <c r="B103" s="80"/>
      <c r="C103" s="80"/>
      <c r="D103" s="81"/>
      <c r="E103" s="96"/>
      <c r="F103" s="80"/>
      <c r="G103" s="83"/>
      <c r="H103" s="84"/>
      <c r="I103" s="85"/>
      <c r="J103" s="80"/>
      <c r="K103" s="80"/>
      <c r="L103" s="86"/>
      <c r="M103" s="83"/>
      <c r="N103" s="83"/>
      <c r="O103" s="88"/>
      <c r="P103" s="89"/>
      <c r="Q103" s="90"/>
    </row>
    <row r="104" spans="2:17">
      <c r="B104" s="80"/>
      <c r="C104" s="80"/>
      <c r="D104" s="81"/>
      <c r="E104" s="82"/>
      <c r="F104" s="80"/>
      <c r="G104" s="83"/>
      <c r="H104" s="84"/>
      <c r="I104" s="85"/>
      <c r="J104" s="80"/>
      <c r="K104" s="80"/>
      <c r="L104" s="86"/>
      <c r="M104" s="83"/>
      <c r="N104" s="83"/>
      <c r="O104" s="91"/>
      <c r="P104" s="92"/>
      <c r="Q104" s="90"/>
    </row>
    <row r="105" spans="2:17">
      <c r="B105" s="80"/>
      <c r="C105" s="80"/>
      <c r="D105" s="81"/>
      <c r="E105" s="82"/>
      <c r="F105" s="80"/>
      <c r="G105" s="83"/>
      <c r="H105" s="84"/>
      <c r="I105" s="85"/>
      <c r="J105" s="80"/>
      <c r="K105" s="80"/>
      <c r="L105" s="86"/>
      <c r="M105" s="83"/>
      <c r="N105" s="87"/>
      <c r="O105" s="88"/>
      <c r="P105" s="89"/>
      <c r="Q105" s="90"/>
    </row>
    <row r="106" spans="2:17">
      <c r="B106" s="80"/>
      <c r="C106" s="80"/>
      <c r="D106" s="81"/>
      <c r="E106" s="82"/>
      <c r="F106" s="80"/>
      <c r="G106" s="83"/>
      <c r="H106" s="84"/>
      <c r="I106" s="85"/>
      <c r="J106" s="80"/>
      <c r="K106" s="80"/>
      <c r="L106" s="86"/>
      <c r="M106" s="83"/>
      <c r="N106" s="87"/>
      <c r="O106" s="91"/>
      <c r="P106" s="92"/>
      <c r="Q106" s="90"/>
    </row>
    <row r="107" spans="2:17">
      <c r="B107" s="80"/>
      <c r="C107" s="80"/>
      <c r="D107" s="81"/>
      <c r="E107" s="82"/>
      <c r="F107" s="80"/>
      <c r="G107" s="83"/>
      <c r="H107" s="84"/>
      <c r="I107" s="85"/>
      <c r="J107" s="80"/>
      <c r="K107" s="80"/>
      <c r="L107" s="86"/>
      <c r="M107" s="83"/>
      <c r="N107" s="83"/>
      <c r="O107" s="88"/>
      <c r="P107" s="89"/>
      <c r="Q107" s="90"/>
    </row>
    <row r="108" spans="2:17">
      <c r="B108" s="80"/>
      <c r="C108" s="80"/>
      <c r="D108" s="81"/>
      <c r="E108" s="82"/>
      <c r="F108" s="80"/>
      <c r="G108" s="83"/>
      <c r="H108" s="84"/>
      <c r="I108" s="85"/>
      <c r="J108" s="80"/>
      <c r="K108" s="80"/>
      <c r="L108" s="86"/>
      <c r="M108" s="83"/>
      <c r="N108" s="87"/>
      <c r="O108" s="91"/>
      <c r="P108" s="92"/>
      <c r="Q108" s="90"/>
    </row>
    <row r="109" spans="2:17">
      <c r="B109" s="80"/>
      <c r="C109" s="94"/>
      <c r="D109" s="81"/>
      <c r="E109" s="82"/>
      <c r="F109" s="80"/>
      <c r="G109" s="83"/>
      <c r="H109" s="84"/>
      <c r="I109" s="85"/>
      <c r="J109" s="80"/>
      <c r="K109" s="80"/>
      <c r="L109" s="86"/>
      <c r="M109" s="83"/>
      <c r="N109" s="83"/>
      <c r="O109" s="88"/>
      <c r="P109" s="89"/>
      <c r="Q109" s="90"/>
    </row>
    <row r="110" spans="2:17">
      <c r="B110" s="80"/>
      <c r="C110" s="80"/>
      <c r="D110" s="81"/>
      <c r="E110" s="93"/>
      <c r="F110" s="80"/>
      <c r="G110" s="83"/>
      <c r="H110" s="84"/>
      <c r="I110" s="85"/>
      <c r="J110" s="80"/>
      <c r="K110" s="80"/>
      <c r="L110" s="86"/>
      <c r="M110" s="83"/>
      <c r="N110" s="83"/>
      <c r="O110" s="91"/>
      <c r="P110" s="92"/>
      <c r="Q110" s="90"/>
    </row>
    <row r="111" spans="2:17">
      <c r="B111" s="80"/>
      <c r="C111" s="94"/>
      <c r="D111" s="81"/>
      <c r="E111" s="93"/>
      <c r="F111" s="80"/>
      <c r="G111" s="83"/>
      <c r="H111" s="84"/>
      <c r="I111" s="85"/>
      <c r="J111" s="80"/>
      <c r="K111" s="80"/>
      <c r="L111" s="86"/>
      <c r="M111" s="83"/>
      <c r="N111" s="83"/>
      <c r="O111" s="88"/>
      <c r="P111" s="89"/>
      <c r="Q111" s="90"/>
    </row>
    <row r="112" spans="2:17">
      <c r="B112" s="80"/>
      <c r="C112" s="94"/>
      <c r="D112" s="81"/>
      <c r="E112" s="82"/>
      <c r="F112" s="80"/>
      <c r="G112" s="83"/>
      <c r="H112" s="84"/>
      <c r="I112" s="85"/>
      <c r="J112" s="80"/>
      <c r="K112" s="80"/>
      <c r="L112" s="86"/>
      <c r="M112" s="83"/>
      <c r="N112" s="83"/>
      <c r="O112" s="91"/>
      <c r="P112" s="92"/>
      <c r="Q112" s="90"/>
    </row>
    <row r="113" spans="2:17">
      <c r="B113" s="80"/>
      <c r="C113" s="80"/>
      <c r="D113" s="81"/>
      <c r="E113" s="93"/>
      <c r="F113" s="80"/>
      <c r="G113" s="83"/>
      <c r="H113" s="84"/>
      <c r="I113" s="85"/>
      <c r="J113" s="80"/>
      <c r="K113" s="80"/>
      <c r="L113" s="86"/>
      <c r="M113" s="83"/>
      <c r="N113" s="83"/>
      <c r="O113" s="88"/>
      <c r="P113" s="89"/>
      <c r="Q113" s="90"/>
    </row>
    <row r="114" spans="2:17" ht="15.5">
      <c r="B114" s="80"/>
      <c r="C114" s="94"/>
      <c r="D114" s="81"/>
      <c r="E114" s="93"/>
      <c r="F114" s="80"/>
      <c r="G114" s="83"/>
      <c r="H114" s="84"/>
      <c r="I114" s="85"/>
      <c r="J114" s="80"/>
      <c r="K114" s="80"/>
      <c r="L114" s="86"/>
      <c r="M114" s="83"/>
      <c r="N114" s="95"/>
      <c r="O114" s="91"/>
      <c r="P114" s="92"/>
      <c r="Q114" s="90"/>
    </row>
    <row r="115" spans="2:17" ht="15.5">
      <c r="B115" s="80"/>
      <c r="C115" s="80"/>
      <c r="D115" s="81"/>
      <c r="E115" s="93"/>
      <c r="F115" s="80"/>
      <c r="G115" s="83"/>
      <c r="H115" s="84"/>
      <c r="I115" s="85"/>
      <c r="J115" s="80"/>
      <c r="K115" s="80"/>
      <c r="L115" s="86"/>
      <c r="M115" s="83"/>
      <c r="N115" s="95"/>
      <c r="O115" s="91"/>
      <c r="P115" s="92"/>
      <c r="Q115" s="90"/>
    </row>
    <row r="116" spans="2:17">
      <c r="B116" s="80"/>
      <c r="C116" s="80"/>
      <c r="D116" s="81"/>
      <c r="E116" s="82"/>
      <c r="F116" s="80"/>
      <c r="G116" s="83"/>
      <c r="H116" s="84"/>
      <c r="I116" s="85"/>
      <c r="J116" s="80"/>
      <c r="K116" s="80"/>
      <c r="L116" s="86"/>
      <c r="M116" s="83"/>
      <c r="N116" s="87"/>
      <c r="O116" s="88"/>
      <c r="P116" s="89"/>
      <c r="Q116" s="90"/>
    </row>
    <row r="117" spans="2:17">
      <c r="B117" s="80"/>
      <c r="C117" s="80"/>
      <c r="D117" s="81"/>
      <c r="E117" s="82"/>
      <c r="F117" s="80"/>
      <c r="G117" s="83"/>
      <c r="H117" s="84"/>
      <c r="I117" s="85"/>
      <c r="J117" s="80"/>
      <c r="K117" s="80"/>
      <c r="L117" s="86"/>
      <c r="M117" s="83"/>
      <c r="N117" s="87"/>
      <c r="O117" s="91"/>
      <c r="P117" s="92"/>
      <c r="Q117" s="90"/>
    </row>
    <row r="118" spans="2:17">
      <c r="B118" s="80"/>
      <c r="C118" s="80"/>
      <c r="D118" s="81"/>
      <c r="E118" s="82"/>
      <c r="F118" s="80"/>
      <c r="G118" s="83"/>
      <c r="H118" s="84"/>
      <c r="I118" s="85"/>
      <c r="J118" s="80"/>
      <c r="K118" s="80"/>
      <c r="L118" s="86"/>
      <c r="M118" s="83"/>
      <c r="N118" s="83"/>
      <c r="O118" s="88"/>
      <c r="P118" s="89"/>
      <c r="Q118" s="90"/>
    </row>
    <row r="119" spans="2:17">
      <c r="B119" s="80"/>
      <c r="C119" s="94"/>
      <c r="D119" s="81"/>
      <c r="E119" s="82"/>
      <c r="F119" s="80"/>
      <c r="G119" s="83"/>
      <c r="H119" s="84"/>
      <c r="I119" s="85"/>
      <c r="J119" s="80"/>
      <c r="K119" s="80"/>
      <c r="L119" s="86"/>
      <c r="M119" s="83"/>
      <c r="N119" s="83"/>
      <c r="O119" s="91"/>
      <c r="P119" s="92"/>
      <c r="Q119" s="90"/>
    </row>
    <row r="120" spans="2:17">
      <c r="B120" s="80"/>
      <c r="C120" s="94"/>
      <c r="D120" s="81"/>
      <c r="E120" s="82"/>
      <c r="F120" s="80"/>
      <c r="G120" s="83"/>
      <c r="H120" s="84"/>
      <c r="I120" s="85"/>
      <c r="J120" s="80"/>
      <c r="K120" s="80"/>
      <c r="L120" s="86"/>
      <c r="M120" s="83"/>
      <c r="N120" s="83"/>
      <c r="O120" s="88"/>
      <c r="P120" s="89"/>
      <c r="Q120" s="90"/>
    </row>
    <row r="121" spans="2:17">
      <c r="B121" s="80"/>
      <c r="C121" s="80"/>
      <c r="D121" s="81"/>
      <c r="E121" s="82"/>
      <c r="F121" s="80"/>
      <c r="G121" s="83"/>
      <c r="H121" s="84"/>
      <c r="I121" s="85"/>
      <c r="J121" s="80"/>
      <c r="K121" s="80"/>
      <c r="L121" s="86"/>
      <c r="M121" s="83"/>
      <c r="N121" s="87"/>
      <c r="O121" s="91"/>
      <c r="P121" s="92"/>
      <c r="Q121" s="90"/>
    </row>
    <row r="122" spans="2:17">
      <c r="B122" s="80"/>
      <c r="C122" s="80"/>
      <c r="D122" s="81"/>
      <c r="E122" s="96"/>
      <c r="F122" s="80"/>
      <c r="G122" s="83"/>
      <c r="H122" s="84"/>
      <c r="I122" s="85"/>
      <c r="J122" s="80"/>
      <c r="K122" s="80"/>
      <c r="L122" s="86"/>
      <c r="M122" s="83"/>
      <c r="N122" s="83"/>
      <c r="O122" s="88"/>
      <c r="P122" s="89"/>
      <c r="Q122" s="90"/>
    </row>
    <row r="123" spans="2:17">
      <c r="B123" s="80"/>
      <c r="C123" s="94"/>
      <c r="D123" s="81"/>
      <c r="E123" s="82"/>
      <c r="F123" s="80"/>
      <c r="G123" s="83"/>
      <c r="H123" s="84"/>
      <c r="I123" s="85"/>
      <c r="J123" s="80"/>
      <c r="K123" s="80"/>
      <c r="L123" s="86"/>
      <c r="M123" s="83"/>
      <c r="N123" s="83"/>
      <c r="O123" s="91"/>
      <c r="P123" s="92"/>
      <c r="Q123" s="90"/>
    </row>
    <row r="124" spans="2:17">
      <c r="B124" s="80"/>
      <c r="C124" s="94"/>
      <c r="D124" s="81"/>
      <c r="E124" s="82"/>
      <c r="F124" s="80"/>
      <c r="G124" s="83"/>
      <c r="H124" s="84"/>
      <c r="I124" s="85"/>
      <c r="J124" s="80"/>
      <c r="K124" s="80"/>
      <c r="L124" s="86"/>
      <c r="M124" s="83"/>
      <c r="N124" s="87"/>
      <c r="O124" s="88"/>
      <c r="P124" s="89"/>
      <c r="Q124" s="90"/>
    </row>
    <row r="125" spans="2:17">
      <c r="B125" s="80"/>
      <c r="C125" s="80"/>
      <c r="D125" s="81"/>
      <c r="E125" s="82"/>
      <c r="F125" s="80"/>
      <c r="G125" s="83"/>
      <c r="H125" s="84"/>
      <c r="I125" s="85"/>
      <c r="J125" s="80"/>
      <c r="K125" s="80"/>
      <c r="L125" s="86"/>
      <c r="M125" s="83"/>
      <c r="N125" s="87"/>
      <c r="O125" s="91"/>
      <c r="P125" s="92"/>
      <c r="Q125" s="90"/>
    </row>
    <row r="126" spans="2:17">
      <c r="B126" s="80"/>
      <c r="C126" s="80"/>
      <c r="D126" s="81"/>
      <c r="E126" s="82"/>
      <c r="F126" s="80"/>
      <c r="G126" s="83"/>
      <c r="H126" s="84"/>
      <c r="I126" s="85"/>
      <c r="J126" s="80"/>
      <c r="K126" s="80"/>
      <c r="L126" s="86"/>
      <c r="M126" s="83"/>
      <c r="N126" s="83"/>
      <c r="O126" s="88"/>
      <c r="P126" s="89"/>
      <c r="Q126" s="90"/>
    </row>
    <row r="127" spans="2:17">
      <c r="B127" s="80"/>
      <c r="C127" s="80"/>
      <c r="D127" s="81"/>
      <c r="E127" s="82"/>
      <c r="F127" s="80"/>
      <c r="G127" s="83"/>
      <c r="H127" s="84"/>
      <c r="I127" s="85"/>
      <c r="J127" s="80"/>
      <c r="K127" s="80"/>
      <c r="L127" s="86"/>
      <c r="M127" s="83"/>
      <c r="N127" s="87"/>
      <c r="O127" s="91"/>
      <c r="P127" s="92"/>
      <c r="Q127" s="90"/>
    </row>
    <row r="128" spans="2:17">
      <c r="B128" s="80"/>
      <c r="C128" s="80"/>
      <c r="D128" s="81"/>
      <c r="E128" s="82"/>
      <c r="F128" s="80"/>
      <c r="G128" s="83"/>
      <c r="H128" s="84"/>
      <c r="I128" s="85"/>
      <c r="J128" s="80"/>
      <c r="K128" s="80"/>
      <c r="L128" s="86"/>
      <c r="M128" s="83"/>
      <c r="N128" s="83"/>
      <c r="O128" s="88"/>
      <c r="P128" s="89"/>
      <c r="Q128" s="90"/>
    </row>
    <row r="129" spans="2:17">
      <c r="B129" s="80"/>
      <c r="C129" s="80"/>
      <c r="D129" s="81"/>
      <c r="E129" s="82"/>
      <c r="F129" s="80"/>
      <c r="G129" s="83"/>
      <c r="H129" s="84"/>
      <c r="I129" s="85"/>
      <c r="J129" s="80"/>
      <c r="K129" s="80"/>
      <c r="L129" s="86"/>
      <c r="M129" s="83"/>
      <c r="N129" s="83"/>
      <c r="O129" s="91"/>
      <c r="P129" s="92"/>
      <c r="Q129" s="90"/>
    </row>
    <row r="130" spans="2:17">
      <c r="B130" s="80"/>
      <c r="C130" s="80"/>
      <c r="D130" s="81"/>
      <c r="E130" s="82"/>
      <c r="F130" s="80"/>
      <c r="G130" s="83"/>
      <c r="H130" s="84"/>
      <c r="I130" s="85"/>
      <c r="J130" s="80"/>
      <c r="K130" s="80"/>
      <c r="L130" s="86"/>
      <c r="M130" s="83"/>
      <c r="N130" s="83"/>
      <c r="O130" s="88"/>
      <c r="P130" s="89"/>
      <c r="Q130" s="90"/>
    </row>
    <row r="131" spans="2:17">
      <c r="B131" s="80"/>
      <c r="C131" s="80"/>
      <c r="D131" s="81"/>
      <c r="E131" s="82"/>
      <c r="F131" s="80"/>
      <c r="G131" s="83"/>
      <c r="H131" s="84"/>
      <c r="I131" s="85"/>
      <c r="J131" s="80"/>
      <c r="K131" s="80"/>
      <c r="L131" s="86"/>
      <c r="M131" s="83"/>
      <c r="N131" s="87"/>
      <c r="O131" s="91"/>
      <c r="P131" s="92"/>
      <c r="Q131" s="90"/>
    </row>
    <row r="132" spans="2:17">
      <c r="B132" s="80"/>
      <c r="C132" s="94"/>
      <c r="D132" s="81"/>
      <c r="E132" s="82"/>
      <c r="F132" s="80"/>
      <c r="G132" s="83"/>
      <c r="H132" s="84"/>
      <c r="I132" s="85"/>
      <c r="J132" s="80"/>
      <c r="K132" s="80"/>
      <c r="L132" s="86"/>
      <c r="M132" s="83"/>
      <c r="N132" s="83"/>
      <c r="O132" s="88"/>
      <c r="P132" s="89"/>
      <c r="Q132" s="90"/>
    </row>
    <row r="133" spans="2:17">
      <c r="B133" s="80"/>
      <c r="C133" s="80"/>
      <c r="D133" s="81"/>
      <c r="E133" s="82"/>
      <c r="F133" s="80"/>
      <c r="G133" s="83"/>
      <c r="H133" s="84"/>
      <c r="I133" s="85"/>
      <c r="J133" s="80"/>
      <c r="K133" s="80"/>
      <c r="L133" s="86"/>
      <c r="M133" s="83"/>
      <c r="N133" s="87"/>
      <c r="O133" s="91"/>
      <c r="P133" s="92"/>
      <c r="Q133" s="90"/>
    </row>
    <row r="134" spans="2:17">
      <c r="B134" s="80"/>
      <c r="C134" s="80"/>
      <c r="D134" s="81"/>
      <c r="E134" s="82"/>
      <c r="F134" s="80"/>
      <c r="G134" s="83"/>
      <c r="H134" s="84"/>
      <c r="I134" s="85"/>
      <c r="J134" s="80"/>
      <c r="K134" s="80"/>
      <c r="L134" s="86"/>
      <c r="M134" s="83"/>
      <c r="N134" s="87"/>
      <c r="O134" s="88"/>
      <c r="P134" s="89"/>
      <c r="Q134" s="90"/>
    </row>
    <row r="135" spans="2:17">
      <c r="B135" s="80"/>
      <c r="C135" s="80"/>
      <c r="D135" s="81"/>
      <c r="E135" s="82"/>
      <c r="F135" s="80"/>
      <c r="G135" s="83"/>
      <c r="H135" s="84"/>
      <c r="I135" s="85"/>
      <c r="J135" s="80"/>
      <c r="K135" s="80"/>
      <c r="L135" s="86"/>
      <c r="M135" s="83"/>
      <c r="N135" s="83"/>
      <c r="O135" s="91"/>
      <c r="P135" s="92"/>
      <c r="Q135" s="90"/>
    </row>
    <row r="136" spans="2:17">
      <c r="B136" s="80"/>
      <c r="C136" s="80"/>
      <c r="D136" s="81"/>
      <c r="E136" s="82"/>
      <c r="F136" s="80"/>
      <c r="G136" s="83"/>
      <c r="H136" s="84"/>
      <c r="I136" s="85"/>
      <c r="J136" s="80"/>
      <c r="K136" s="80"/>
      <c r="L136" s="86"/>
      <c r="M136" s="83"/>
      <c r="N136" s="83"/>
      <c r="O136" s="88"/>
      <c r="P136" s="89"/>
      <c r="Q136" s="90"/>
    </row>
    <row r="137" spans="2:17">
      <c r="B137" s="80"/>
      <c r="C137" s="94"/>
      <c r="D137" s="81"/>
      <c r="E137" s="82"/>
      <c r="F137" s="80"/>
      <c r="G137" s="83"/>
      <c r="H137" s="84"/>
      <c r="I137" s="85"/>
      <c r="J137" s="80"/>
      <c r="K137" s="80"/>
      <c r="L137" s="86"/>
      <c r="M137" s="83"/>
      <c r="N137" s="83"/>
      <c r="O137" s="91"/>
      <c r="P137" s="92"/>
      <c r="Q137" s="90"/>
    </row>
    <row r="138" spans="2:17">
      <c r="B138" s="80"/>
      <c r="C138" s="80"/>
      <c r="D138" s="81"/>
      <c r="E138" s="82"/>
      <c r="F138" s="80"/>
      <c r="G138" s="83"/>
      <c r="H138" s="84"/>
      <c r="I138" s="85"/>
      <c r="J138" s="80"/>
      <c r="K138" s="80"/>
      <c r="L138" s="86"/>
      <c r="M138" s="83"/>
      <c r="N138" s="83"/>
      <c r="O138" s="91"/>
      <c r="P138" s="92"/>
      <c r="Q138" s="90"/>
    </row>
    <row r="139" spans="2:17">
      <c r="B139" s="80"/>
      <c r="C139" s="80"/>
      <c r="D139" s="81"/>
      <c r="E139" s="82"/>
      <c r="F139" s="80"/>
      <c r="G139" s="83"/>
      <c r="H139" s="84"/>
      <c r="I139" s="85"/>
      <c r="J139" s="80"/>
      <c r="K139" s="80"/>
      <c r="L139" s="86"/>
      <c r="M139" s="83"/>
      <c r="N139" s="83"/>
      <c r="O139" s="88"/>
      <c r="P139" s="89"/>
      <c r="Q139" s="90"/>
    </row>
    <row r="140" spans="2:17">
      <c r="B140" s="80"/>
      <c r="C140" s="80"/>
      <c r="D140" s="81"/>
      <c r="E140" s="82"/>
      <c r="F140" s="80"/>
      <c r="G140" s="83"/>
      <c r="H140" s="84"/>
      <c r="I140" s="85"/>
      <c r="J140" s="80"/>
      <c r="K140" s="80"/>
      <c r="L140" s="86"/>
      <c r="M140" s="83"/>
      <c r="N140" s="87"/>
      <c r="O140" s="91"/>
      <c r="P140" s="92"/>
      <c r="Q140" s="90"/>
    </row>
    <row r="141" spans="2:17">
      <c r="B141" s="80"/>
      <c r="C141" s="80"/>
      <c r="D141" s="81"/>
      <c r="E141" s="82"/>
      <c r="F141" s="80"/>
      <c r="G141" s="83"/>
      <c r="H141" s="84"/>
      <c r="I141" s="85"/>
      <c r="J141" s="80"/>
      <c r="K141" s="80"/>
      <c r="L141" s="86"/>
      <c r="M141" s="83"/>
      <c r="N141" s="87"/>
      <c r="O141" s="88"/>
      <c r="P141" s="89"/>
      <c r="Q141" s="90"/>
    </row>
    <row r="142" spans="2:17">
      <c r="B142" s="80"/>
      <c r="C142" s="94"/>
      <c r="D142" s="81"/>
      <c r="E142" s="82"/>
      <c r="F142" s="80"/>
      <c r="G142" s="83"/>
      <c r="H142" s="84"/>
      <c r="I142" s="85"/>
      <c r="J142" s="80"/>
      <c r="K142" s="80"/>
      <c r="L142" s="86"/>
      <c r="M142" s="83"/>
      <c r="N142" s="83"/>
      <c r="O142" s="91"/>
      <c r="P142" s="92"/>
      <c r="Q142" s="90"/>
    </row>
    <row r="143" spans="2:17" ht="15.5">
      <c r="B143" s="80"/>
      <c r="C143" s="80"/>
      <c r="D143" s="81"/>
      <c r="E143" s="93"/>
      <c r="F143" s="80"/>
      <c r="G143" s="83"/>
      <c r="H143" s="84"/>
      <c r="I143" s="85"/>
      <c r="J143" s="80"/>
      <c r="K143" s="80"/>
      <c r="L143" s="86"/>
      <c r="M143" s="83"/>
      <c r="N143" s="95"/>
      <c r="O143" s="91"/>
      <c r="P143" s="92"/>
      <c r="Q143" s="90"/>
    </row>
    <row r="144" spans="2:17">
      <c r="B144" s="80"/>
      <c r="C144" s="94"/>
      <c r="D144" s="81"/>
      <c r="E144" s="82"/>
      <c r="F144" s="80"/>
      <c r="G144" s="83"/>
      <c r="H144" s="84"/>
      <c r="I144" s="85"/>
      <c r="J144" s="80"/>
      <c r="K144" s="80"/>
      <c r="L144" s="86"/>
      <c r="M144" s="83"/>
      <c r="N144" s="83"/>
      <c r="O144" s="91"/>
      <c r="P144" s="92"/>
      <c r="Q144" s="90"/>
    </row>
    <row r="145" spans="2:17" ht="15.5">
      <c r="B145" s="80"/>
      <c r="C145" s="80"/>
      <c r="D145" s="81"/>
      <c r="E145" s="93"/>
      <c r="F145" s="80"/>
      <c r="G145" s="83"/>
      <c r="H145" s="84"/>
      <c r="I145" s="85"/>
      <c r="J145" s="80"/>
      <c r="K145" s="80"/>
      <c r="L145" s="86"/>
      <c r="M145" s="83"/>
      <c r="N145" s="95"/>
      <c r="O145" s="91"/>
      <c r="P145" s="92"/>
      <c r="Q145" s="90"/>
    </row>
  </sheetData>
  <mergeCells count="10">
    <mergeCell ref="J1:L1"/>
    <mergeCell ref="M1:O1"/>
    <mergeCell ref="P1:P2"/>
    <mergeCell ref="Q1:Q2"/>
    <mergeCell ref="B1:B2"/>
    <mergeCell ref="C1:C2"/>
    <mergeCell ref="D1:D2"/>
    <mergeCell ref="E1:E2"/>
    <mergeCell ref="F1:F2"/>
    <mergeCell ref="G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ABSENSI</vt:lpstr>
      <vt:lpstr>SPL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Wahyu Widiyana</dc:creator>
  <cp:lastModifiedBy>Wahyu Widiyana</cp:lastModifiedBy>
  <dcterms:created xsi:type="dcterms:W3CDTF">2026-09-22T06:29:24Z</dcterms:created>
  <dcterms:modified xsi:type="dcterms:W3CDTF">2026-10-17T02:04:33Z</dcterms:modified>
</cp:coreProperties>
</file>