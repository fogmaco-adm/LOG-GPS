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L PSD\PENDINGAN LINDAA 2026\GENERAL 2026\00. PORTAL TIMESHEET\1_Data_Master\"/>
    </mc:Choice>
  </mc:AlternateContent>
  <xr:revisionPtr revIDLastSave="0" documentId="13_ncr:1_{49A862B7-EA40-41D1-90A8-784945AD107B}" xr6:coauthVersionLast="47" xr6:coauthVersionMax="47" xr10:uidLastSave="{00000000-0000-0000-0000-000000000000}"/>
  <bookViews>
    <workbookView xWindow="-110" yWindow="-110" windowWidth="19420" windowHeight="10300" xr2:uid="{B63CC1D9-8C52-49F1-BD4B-374C97588D15}"/>
  </bookViews>
  <sheets>
    <sheet name="ABSENSI" sheetId="1" r:id="rId1"/>
    <sheet name="SPL" sheetId="2" r:id="rId2"/>
    <sheet name="DATA FINGER" sheetId="3" r:id="rId3"/>
  </sheets>
  <definedNames>
    <definedName name="_xlnm._FilterDatabase" localSheetId="2" hidden="1">'DATA FINGER'!$A$1:$I$1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4" i="1"/>
  <c r="A13" i="2" l="1"/>
  <c r="D12" i="2"/>
  <c r="A12" i="2" s="1"/>
  <c r="D11" i="2"/>
  <c r="A11" i="2" s="1"/>
  <c r="D10" i="2"/>
  <c r="A10" i="2" s="1"/>
  <c r="D9" i="2"/>
  <c r="A9" i="2" s="1"/>
  <c r="D8" i="2"/>
  <c r="A8" i="2" s="1"/>
  <c r="D7" i="2"/>
  <c r="A7" i="2" s="1"/>
  <c r="D6" i="2"/>
  <c r="A6" i="2" s="1"/>
  <c r="P5" i="2"/>
  <c r="Q5" i="2" s="1"/>
  <c r="D5" i="2"/>
  <c r="A5" i="2" s="1"/>
  <c r="D4" i="2"/>
  <c r="A4" i="2" s="1"/>
  <c r="D3" i="2"/>
  <c r="A3" i="2" s="1"/>
  <c r="A5" i="1"/>
  <c r="A6" i="1" s="1"/>
  <c r="A7" i="1" s="1"/>
  <c r="A8" i="1" s="1"/>
  <c r="I3" i="1"/>
  <c r="I2" i="1" s="1"/>
  <c r="H2" i="1"/>
  <c r="J3" i="1" l="1"/>
  <c r="J2" i="1" l="1"/>
  <c r="K3" i="1"/>
  <c r="K2" i="1" l="1"/>
  <c r="L3" i="1"/>
  <c r="M3" i="1" l="1"/>
  <c r="L2" i="1"/>
  <c r="N3" i="1" l="1"/>
  <c r="M2" i="1"/>
  <c r="N2" i="1" l="1"/>
  <c r="O3" i="1"/>
  <c r="P3" i="1" l="1"/>
  <c r="O2" i="1"/>
  <c r="Q3" i="1" l="1"/>
  <c r="P2" i="1"/>
  <c r="Q2" i="1" l="1"/>
  <c r="R3" i="1"/>
  <c r="R2" i="1" l="1"/>
  <c r="S3" i="1"/>
  <c r="S2" i="1" l="1"/>
  <c r="T3" i="1"/>
  <c r="U3" i="1" l="1"/>
  <c r="T2" i="1"/>
  <c r="V3" i="1" l="1"/>
  <c r="U2" i="1"/>
  <c r="V2" i="1" l="1"/>
  <c r="W3" i="1"/>
  <c r="W2" i="1" l="1"/>
  <c r="X3" i="1"/>
  <c r="X2" i="1" l="1"/>
  <c r="Y3" i="1"/>
  <c r="Y2" i="1" l="1"/>
  <c r="Z3" i="1"/>
  <c r="Z2" i="1" l="1"/>
  <c r="AA3" i="1"/>
  <c r="AA2" i="1" l="1"/>
  <c r="AB3" i="1"/>
  <c r="AC3" i="1" l="1"/>
  <c r="AB2" i="1"/>
  <c r="AC2" i="1" l="1"/>
  <c r="AD3" i="1"/>
  <c r="AD2" i="1" l="1"/>
  <c r="AE3" i="1"/>
  <c r="AF3" i="1" l="1"/>
  <c r="AE2" i="1"/>
  <c r="AG3" i="1" l="1"/>
  <c r="AF2" i="1"/>
  <c r="AG2" i="1" l="1"/>
  <c r="AH3" i="1"/>
  <c r="AH2" i="1" l="1"/>
  <c r="AI3" i="1"/>
  <c r="AI2" i="1" l="1"/>
  <c r="AJ3" i="1"/>
  <c r="AK3" i="1" l="1"/>
  <c r="AJ2" i="1"/>
  <c r="AL3" i="1" l="1"/>
  <c r="AL2" i="1" s="1"/>
  <c r="AK2" i="1"/>
</calcChain>
</file>

<file path=xl/sharedStrings.xml><?xml version="1.0" encoding="utf-8"?>
<sst xmlns="http://schemas.openxmlformats.org/spreadsheetml/2006/main" count="1994" uniqueCount="323">
  <si>
    <t xml:space="preserve">NO </t>
  </si>
  <si>
    <t>NRP</t>
  </si>
  <si>
    <t>ADMIN</t>
  </si>
  <si>
    <t>IZAH</t>
  </si>
  <si>
    <t>D</t>
  </si>
  <si>
    <t>OFF</t>
  </si>
  <si>
    <t>L</t>
  </si>
  <si>
    <t>FUELMAN</t>
  </si>
  <si>
    <t>YOKO</t>
  </si>
  <si>
    <t>C</t>
  </si>
  <si>
    <t>CTN</t>
  </si>
  <si>
    <t>FIELD SUPPORT</t>
  </si>
  <si>
    <t>RISWANDI</t>
  </si>
  <si>
    <t>MADRI YANI</t>
  </si>
  <si>
    <t>N</t>
  </si>
  <si>
    <t>TAUFIK KURAHMAN</t>
  </si>
  <si>
    <t>I</t>
  </si>
  <si>
    <t xml:space="preserve"> </t>
  </si>
  <si>
    <t>TANGGAL</t>
  </si>
  <si>
    <t>No.</t>
  </si>
  <si>
    <t>NAMA</t>
  </si>
  <si>
    <t>SHIFT (1/2)</t>
  </si>
  <si>
    <t>AWAL SHIFT</t>
  </si>
  <si>
    <t>REST TIME</t>
  </si>
  <si>
    <t>AKHIR SHIFT</t>
  </si>
  <si>
    <t>TOTAL</t>
  </si>
  <si>
    <t>KETERANGAN SPL</t>
  </si>
  <si>
    <t>START</t>
  </si>
  <si>
    <t>END</t>
  </si>
  <si>
    <t>JUMLAH</t>
  </si>
  <si>
    <t>Riswandi</t>
  </si>
  <si>
    <t>Proses nerci dan part service</t>
  </si>
  <si>
    <t>Siapakan 2x OHV</t>
  </si>
  <si>
    <t>Izah</t>
  </si>
  <si>
    <t>Mengerjakan WS part unschedule GA</t>
  </si>
  <si>
    <t>Madri Yani</t>
  </si>
  <si>
    <t xml:space="preserve">Big digger Jum'at </t>
  </si>
  <si>
    <t>Drafting WS material WT 033</t>
  </si>
  <si>
    <t>Mengerjakan WS kalibrasi Tools dan packing Do</t>
  </si>
  <si>
    <t>Membuat PO general creat Ws general</t>
  </si>
  <si>
    <t>Nama</t>
  </si>
  <si>
    <t>Tanggal</t>
  </si>
  <si>
    <t>Jam</t>
  </si>
  <si>
    <t>IP Device</t>
  </si>
  <si>
    <t>Lokasi</t>
  </si>
  <si>
    <t>Jenis Presensi</t>
  </si>
  <si>
    <t>Status</t>
  </si>
  <si>
    <t>Kode</t>
  </si>
  <si>
    <t>06:02:54</t>
  </si>
  <si>
    <t>10.104.8.27</t>
  </si>
  <si>
    <t>WHS LOGISTIK TUHUP</t>
  </si>
  <si>
    <t>1 (Clock In)</t>
  </si>
  <si>
    <t>Clock - In</t>
  </si>
  <si>
    <t>P10</t>
  </si>
  <si>
    <t>17:35:14</t>
  </si>
  <si>
    <t>2 (Clock Out)</t>
  </si>
  <si>
    <t>Clock - Out</t>
  </si>
  <si>
    <t>P20</t>
  </si>
  <si>
    <t>06:05:14</t>
  </si>
  <si>
    <t>05:56:46</t>
  </si>
  <si>
    <t>17:40:12</t>
  </si>
  <si>
    <t>17:42:19</t>
  </si>
  <si>
    <t>17:32:02</t>
  </si>
  <si>
    <t>06:00:42</t>
  </si>
  <si>
    <t>17:45:27</t>
  </si>
  <si>
    <t>05:57:10</t>
  </si>
  <si>
    <t>05:50:41</t>
  </si>
  <si>
    <t>17:26:39</t>
  </si>
  <si>
    <t>05:57:17</t>
  </si>
  <si>
    <t>10.104.5.14</t>
  </si>
  <si>
    <t>MAIN OFFICE HAJU - 3</t>
  </si>
  <si>
    <t>17:54:09</t>
  </si>
  <si>
    <t>05:49:44</t>
  </si>
  <si>
    <t>10.104.5.13</t>
  </si>
  <si>
    <t>MAIN OFFICE HAJU - 2</t>
  </si>
  <si>
    <t>06:01:09</t>
  </si>
  <si>
    <t>10.104.3.69</t>
  </si>
  <si>
    <t>CSA ROM CAMP MINING</t>
  </si>
  <si>
    <t>17:27:51</t>
  </si>
  <si>
    <t>06:00:34</t>
  </si>
  <si>
    <t>05:28:00</t>
  </si>
  <si>
    <t>18:00:09</t>
  </si>
  <si>
    <t>05:30:15</t>
  </si>
  <si>
    <t>18:00:52</t>
  </si>
  <si>
    <t>05:26:48</t>
  </si>
  <si>
    <t>18:00:05</t>
  </si>
  <si>
    <t>05:27:07</t>
  </si>
  <si>
    <t>18:00:12</t>
  </si>
  <si>
    <t>05:29:16</t>
  </si>
  <si>
    <t>18:00:22</t>
  </si>
  <si>
    <t>05:27:31</t>
  </si>
  <si>
    <t>18:01:07</t>
  </si>
  <si>
    <t>17:26:48</t>
  </si>
  <si>
    <t>06:00:20</t>
  </si>
  <si>
    <t>17:27:57</t>
  </si>
  <si>
    <t>06:00:46</t>
  </si>
  <si>
    <t>17:27:07</t>
  </si>
  <si>
    <t>06:08:09</t>
  </si>
  <si>
    <t>17:28:03</t>
  </si>
  <si>
    <t>06:01:00</t>
  </si>
  <si>
    <t>05:25:30</t>
  </si>
  <si>
    <t>18:00:03</t>
  </si>
  <si>
    <t>05:25:57</t>
  </si>
  <si>
    <t>18:00:18</t>
  </si>
  <si>
    <t>05:29:28</t>
  </si>
  <si>
    <t>18:00:21</t>
  </si>
  <si>
    <t>05:30:05</t>
  </si>
  <si>
    <t>18:00:06</t>
  </si>
  <si>
    <t>05:29:38</t>
  </si>
  <si>
    <t>05:30:41</t>
  </si>
  <si>
    <t>18:00:08</t>
  </si>
  <si>
    <t>05:26:56</t>
  </si>
  <si>
    <t>06:47:00</t>
  </si>
  <si>
    <t>10.104.3.85</t>
  </si>
  <si>
    <t>MAIN OFFICE MIA</t>
  </si>
  <si>
    <t>06:54:51</t>
  </si>
  <si>
    <t>17:00:06</t>
  </si>
  <si>
    <t>05:30:02</t>
  </si>
  <si>
    <t>18:00:14</t>
  </si>
  <si>
    <t>18:00:02</t>
  </si>
  <si>
    <t>05:28:23</t>
  </si>
  <si>
    <t>18:00:15</t>
  </si>
  <si>
    <t>05:28:21</t>
  </si>
  <si>
    <t>06:28:03</t>
  </si>
  <si>
    <t>17:06:42</t>
  </si>
  <si>
    <t>06:24:07</t>
  </si>
  <si>
    <t>17:06:51</t>
  </si>
  <si>
    <t>06:28:17</t>
  </si>
  <si>
    <t>17:16:06</t>
  </si>
  <si>
    <t>06:32:17</t>
  </si>
  <si>
    <t>17:03:05</t>
  </si>
  <si>
    <t>06:27:37</t>
  </si>
  <si>
    <t>17:07:57</t>
  </si>
  <si>
    <t>06:24:17</t>
  </si>
  <si>
    <t>17:04:53</t>
  </si>
  <si>
    <t>06:26:41</t>
  </si>
  <si>
    <t>16:43:16</t>
  </si>
  <si>
    <t>06:28:02</t>
  </si>
  <si>
    <t>16:45:36</t>
  </si>
  <si>
    <t>06:26:43</t>
  </si>
  <si>
    <t>17:06:06</t>
  </si>
  <si>
    <t>10.104.5.12</t>
  </si>
  <si>
    <t>MAIN OFFICE HAJU - 1</t>
  </si>
  <si>
    <t>06:31:47</t>
  </si>
  <si>
    <t>16:36:09</t>
  </si>
  <si>
    <t>06:26:32</t>
  </si>
  <si>
    <t>16:41:25</t>
  </si>
  <si>
    <t>06:28:27</t>
  </si>
  <si>
    <t>18:08:05</t>
  </si>
  <si>
    <t>06:25:37</t>
  </si>
  <si>
    <t>18:14:31</t>
  </si>
  <si>
    <t>06:28:28</t>
  </si>
  <si>
    <t>17:41:08</t>
  </si>
  <si>
    <t>06:32:27</t>
  </si>
  <si>
    <t>18:02:45</t>
  </si>
  <si>
    <t>06:25:19</t>
  </si>
  <si>
    <t>18:37:10</t>
  </si>
  <si>
    <t>06:28:50</t>
  </si>
  <si>
    <t>17:03:00</t>
  </si>
  <si>
    <t>06:25:05</t>
  </si>
  <si>
    <t>17:05:30</t>
  </si>
  <si>
    <t>06:23:43</t>
  </si>
  <si>
    <t>16:45:21</t>
  </si>
  <si>
    <t>06:31:03</t>
  </si>
  <si>
    <t>16:50:50</t>
  </si>
  <si>
    <t>06:21:52</t>
  </si>
  <si>
    <t>18:35:12</t>
  </si>
  <si>
    <t>06:29:50</t>
  </si>
  <si>
    <t>16:50:34</t>
  </si>
  <si>
    <t>16:38:52</t>
  </si>
  <si>
    <t>06:28:14</t>
  </si>
  <si>
    <t>06:27:27</t>
  </si>
  <si>
    <t>16:50:06</t>
  </si>
  <si>
    <t>06:32:12</t>
  </si>
  <si>
    <t>16:49:04</t>
  </si>
  <si>
    <t>06:31:27</t>
  </si>
  <si>
    <t>16:30:14</t>
  </si>
  <si>
    <t>06:33:32</t>
  </si>
  <si>
    <t>16:37:28</t>
  </si>
  <si>
    <t>06:30:24</t>
  </si>
  <si>
    <t>06:27:17</t>
  </si>
  <si>
    <t>17:59:48</t>
  </si>
  <si>
    <t>06:35:44</t>
  </si>
  <si>
    <t>19:13:43</t>
  </si>
  <si>
    <t>06:36:10</t>
  </si>
  <si>
    <t>18:11:35</t>
  </si>
  <si>
    <t>06:39:13</t>
  </si>
  <si>
    <t>18:02:05</t>
  </si>
  <si>
    <t>06:33:53</t>
  </si>
  <si>
    <t>18:01:21</t>
  </si>
  <si>
    <t>06:35:48</t>
  </si>
  <si>
    <t>19:02:58</t>
  </si>
  <si>
    <t>18:05:37</t>
  </si>
  <si>
    <t>06:32:04</t>
  </si>
  <si>
    <t>18:13:40</t>
  </si>
  <si>
    <t>06:32:15</t>
  </si>
  <si>
    <t>17:58:17</t>
  </si>
  <si>
    <t>06:31:13</t>
  </si>
  <si>
    <t>18:13:14</t>
  </si>
  <si>
    <t>06:31:06</t>
  </si>
  <si>
    <t>19:30:21</t>
  </si>
  <si>
    <t>06:33:19</t>
  </si>
  <si>
    <t>18:01:45</t>
  </si>
  <si>
    <t>06:34:44</t>
  </si>
  <si>
    <t>18:01:39</t>
  </si>
  <si>
    <t>17:51:49</t>
  </si>
  <si>
    <t>06:30:35</t>
  </si>
  <si>
    <t>18:00:32</t>
  </si>
  <si>
    <t>06:24:16</t>
  </si>
  <si>
    <t>18:03:33</t>
  </si>
  <si>
    <t>06:29:07</t>
  </si>
  <si>
    <t>17:51:12</t>
  </si>
  <si>
    <t>06:28:10</t>
  </si>
  <si>
    <t>19:30:45</t>
  </si>
  <si>
    <t>06:14:10</t>
  </si>
  <si>
    <t>18:03:10</t>
  </si>
  <si>
    <t>06:28:40</t>
  </si>
  <si>
    <t>17:59:33</t>
  </si>
  <si>
    <t>06:26:46</t>
  </si>
  <si>
    <t>17:56:05</t>
  </si>
  <si>
    <t>06:28:52</t>
  </si>
  <si>
    <t>17:57:56</t>
  </si>
  <si>
    <t>06:36:25</t>
  </si>
  <si>
    <t>18:02:58</t>
  </si>
  <si>
    <t>06:33:41</t>
  </si>
  <si>
    <t>18:00:11</t>
  </si>
  <si>
    <t>06:35:54</t>
  </si>
  <si>
    <t>17:56:46</t>
  </si>
  <si>
    <t>06:27:02</t>
  </si>
  <si>
    <t>18:06:03</t>
  </si>
  <si>
    <t>06:28:11</t>
  </si>
  <si>
    <t>17:54:27</t>
  </si>
  <si>
    <t>06:36:08</t>
  </si>
  <si>
    <t>18:17:17</t>
  </si>
  <si>
    <t>06:39:50</t>
  </si>
  <si>
    <t>06:02:15</t>
  </si>
  <si>
    <t>17:28:27</t>
  </si>
  <si>
    <t>06:00:47</t>
  </si>
  <si>
    <t>17:27:22</t>
  </si>
  <si>
    <t>06:04:58</t>
  </si>
  <si>
    <t>05:23:15</t>
  </si>
  <si>
    <t>18:02:39</t>
  </si>
  <si>
    <t>05:33:56</t>
  </si>
  <si>
    <t>18:16:57</t>
  </si>
  <si>
    <t>05:31:04</t>
  </si>
  <si>
    <t>18:07:55</t>
  </si>
  <si>
    <t>05:52:31</t>
  </si>
  <si>
    <t>17:52:26</t>
  </si>
  <si>
    <t>06:00:12</t>
  </si>
  <si>
    <t>17:50:04</t>
  </si>
  <si>
    <t>05:27:45</t>
  </si>
  <si>
    <t>18:03:23</t>
  </si>
  <si>
    <t>05:37:44</t>
  </si>
  <si>
    <t>17:51:04</t>
  </si>
  <si>
    <t>05:33:45</t>
  </si>
  <si>
    <t>18:03:35</t>
  </si>
  <si>
    <t>18:04:04</t>
  </si>
  <si>
    <t>05:36:50</t>
  </si>
  <si>
    <t>18:01:36</t>
  </si>
  <si>
    <t>17:23:45</t>
  </si>
  <si>
    <t>06:02:50</t>
  </si>
  <si>
    <t>18:24:47</t>
  </si>
  <si>
    <t>05:44:00</t>
  </si>
  <si>
    <t>05:47:36</t>
  </si>
  <si>
    <t>10.104.1.13</t>
  </si>
  <si>
    <t>WHS LOGISTIK MIA</t>
  </si>
  <si>
    <t>17:53:38</t>
  </si>
  <si>
    <t>05:46:21</t>
  </si>
  <si>
    <t>17:57:26</t>
  </si>
  <si>
    <t>05:45:20</t>
  </si>
  <si>
    <t>17:57:59</t>
  </si>
  <si>
    <t>17:49:42</t>
  </si>
  <si>
    <t>05:58:10</t>
  </si>
  <si>
    <t>17:47:05</t>
  </si>
  <si>
    <t>06:07:24</t>
  </si>
  <si>
    <t>17:45:16</t>
  </si>
  <si>
    <t>05:54:12</t>
  </si>
  <si>
    <t>17:45:09</t>
  </si>
  <si>
    <t>06:00:03</t>
  </si>
  <si>
    <t>17:47:50</t>
  </si>
  <si>
    <t>05:53:02</t>
  </si>
  <si>
    <t>17:45:24</t>
  </si>
  <si>
    <t>06:02:04</t>
  </si>
  <si>
    <t>17:48:01</t>
  </si>
  <si>
    <t>17:48:18</t>
  </si>
  <si>
    <t>05:56:26</t>
  </si>
  <si>
    <t>17:59:17</t>
  </si>
  <si>
    <t>05:47:17</t>
  </si>
  <si>
    <t>17:59:10</t>
  </si>
  <si>
    <t>05:46:06</t>
  </si>
  <si>
    <t>18:01:37</t>
  </si>
  <si>
    <t>17:58:14</t>
  </si>
  <si>
    <t>05:45:40</t>
  </si>
  <si>
    <t>05:54:59</t>
  </si>
  <si>
    <t>17:45:14</t>
  </si>
  <si>
    <t>06:00:16</t>
  </si>
  <si>
    <t>17:46:02</t>
  </si>
  <si>
    <t>06:02:42</t>
  </si>
  <si>
    <t>17:45:07</t>
  </si>
  <si>
    <t>05:59:33</t>
  </si>
  <si>
    <t>17:46:21</t>
  </si>
  <si>
    <t>05:57:47</t>
  </si>
  <si>
    <t>17:45:18</t>
  </si>
  <si>
    <t>06:03:15</t>
  </si>
  <si>
    <t>17:45:41</t>
  </si>
  <si>
    <t>06:06:02</t>
  </si>
  <si>
    <t>17:45:48</t>
  </si>
  <si>
    <t>06:07:39</t>
  </si>
  <si>
    <t>17:42:08</t>
  </si>
  <si>
    <t>05:58:20</t>
  </si>
  <si>
    <t>17:44:23</t>
  </si>
  <si>
    <t>17:41:23</t>
  </si>
  <si>
    <t>17:50:20</t>
  </si>
  <si>
    <t>05:45:52</t>
  </si>
  <si>
    <t>17:55:48</t>
  </si>
  <si>
    <t>JABATAN</t>
  </si>
  <si>
    <t>DEPARTEMEN</t>
  </si>
  <si>
    <t>LOGISTIK</t>
  </si>
  <si>
    <t>KETERANGAN</t>
  </si>
  <si>
    <t>HARI KE-</t>
  </si>
  <si>
    <t>REFUELING</t>
  </si>
  <si>
    <t>STOCK TAKER</t>
  </si>
  <si>
    <t>PENGADAAN GENERAL PR TO PO HAULING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</si>
</sst>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ddd"/>
    <numFmt numFmtId="165" formatCode="dd"/>
    <numFmt numFmtId="166" formatCode="dd/mm/yy;@"/>
    <numFmt numFmtId="167" formatCode="[$-F400]h:mm:ss\ AM/PM"/>
    <numFmt numFmtId="168" formatCode="h:mm:ss;@"/>
    <numFmt numFmtId="169" formatCode="[$-1009]d\-mmm\-yy;@"/>
    <numFmt numFmtId="170" formatCode="[$-421]dd\ mmmm\ yyyy;@"/>
    <numFmt numFmtId="171" formatCode="dd\.mm\.yyyy;@"/>
    <numFmt numFmtId="172" formatCode="[$-13809]h:mm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8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3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3"/>
      <color theme="0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54222235786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170" fontId="11" fillId="0" borderId="0"/>
  </cellStyleXfs>
  <cellXfs count="58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5" fontId="5" fillId="2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2" fillId="5" borderId="9" xfId="2" applyFont="1" applyFill="1" applyBorder="1" applyAlignment="1">
      <alignment horizontal="center" vertical="center"/>
    </xf>
    <xf numFmtId="168" fontId="2" fillId="5" borderId="9" xfId="2" applyNumberFormat="1" applyFont="1" applyFill="1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0" fillId="6" borderId="1" xfId="2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" fillId="6" borderId="1" xfId="2" applyNumberFormat="1" applyFill="1" applyBorder="1" applyAlignment="1">
      <alignment horizontal="center" vertical="center"/>
    </xf>
    <xf numFmtId="0" fontId="1" fillId="6" borderId="1" xfId="2" applyFill="1" applyBorder="1" applyAlignment="1">
      <alignment horizontal="center" vertical="center"/>
    </xf>
    <xf numFmtId="20" fontId="1" fillId="6" borderId="1" xfId="2" applyNumberFormat="1" applyFill="1" applyBorder="1" applyAlignment="1">
      <alignment horizontal="center" vertical="center"/>
    </xf>
    <xf numFmtId="46" fontId="1" fillId="6" borderId="1" xfId="2" applyNumberFormat="1" applyFill="1" applyBorder="1" applyAlignment="1">
      <alignment horizontal="center" vertical="center"/>
    </xf>
    <xf numFmtId="41" fontId="0" fillId="6" borderId="1" xfId="3" applyFont="1" applyFill="1" applyBorder="1" applyAlignment="1">
      <alignment horizontal="center" vertical="center"/>
    </xf>
    <xf numFmtId="20" fontId="0" fillId="6" borderId="1" xfId="3" applyNumberFormat="1" applyFont="1" applyFill="1" applyBorder="1" applyAlignment="1">
      <alignment horizontal="center" vertical="center"/>
    </xf>
    <xf numFmtId="167" fontId="0" fillId="0" borderId="11" xfId="3" applyNumberFormat="1" applyFont="1" applyFill="1" applyBorder="1" applyAlignment="1">
      <alignment horizontal="center" vertical="center"/>
    </xf>
    <xf numFmtId="168" fontId="0" fillId="0" borderId="9" xfId="3" applyNumberFormat="1" applyFont="1" applyFill="1" applyBorder="1" applyAlignment="1">
      <alignment horizontal="center" vertical="center"/>
    </xf>
    <xf numFmtId="170" fontId="12" fillId="6" borderId="1" xfId="4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167" fontId="0" fillId="0" borderId="12" xfId="3" applyNumberFormat="1" applyFont="1" applyFill="1" applyBorder="1" applyAlignment="1">
      <alignment horizontal="center" vertical="center"/>
    </xf>
    <xf numFmtId="168" fontId="0" fillId="0" borderId="13" xfId="3" applyNumberFormat="1" applyFont="1" applyFill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171" fontId="13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7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71" fontId="0" fillId="0" borderId="1" xfId="0" applyNumberFormat="1" applyBorder="1" applyAlignment="1">
      <alignment horizontal="center"/>
    </xf>
    <xf numFmtId="172" fontId="1" fillId="6" borderId="1" xfId="2" applyNumberFormat="1" applyFill="1" applyBorder="1" applyAlignment="1">
      <alignment horizontal="center" vertical="center"/>
    </xf>
    <xf numFmtId="172" fontId="0" fillId="0" borderId="11" xfId="3" applyNumberFormat="1" applyFont="1" applyFill="1" applyBorder="1" applyAlignment="1">
      <alignment horizontal="center" vertical="center"/>
    </xf>
    <xf numFmtId="172" fontId="0" fillId="0" borderId="9" xfId="3" applyNumberFormat="1" applyFont="1" applyFill="1" applyBorder="1" applyAlignment="1">
      <alignment horizontal="center" vertical="center"/>
    </xf>
    <xf numFmtId="172" fontId="0" fillId="0" borderId="12" xfId="3" applyNumberFormat="1" applyFont="1" applyFill="1" applyBorder="1" applyAlignment="1">
      <alignment horizontal="center" vertical="center"/>
    </xf>
    <xf numFmtId="172" fontId="0" fillId="0" borderId="13" xfId="3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17" fontId="3" fillId="2" borderId="3" xfId="1" applyNumberFormat="1" applyFont="1" applyFill="1" applyBorder="1" applyAlignment="1">
      <alignment horizontal="center" vertical="center"/>
    </xf>
    <xf numFmtId="17" fontId="3" fillId="2" borderId="4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/>
    </xf>
    <xf numFmtId="0" fontId="2" fillId="5" borderId="9" xfId="2" applyFont="1" applyFill="1" applyBorder="1" applyAlignment="1">
      <alignment horizontal="center" vertical="center"/>
    </xf>
    <xf numFmtId="167" fontId="2" fillId="5" borderId="9" xfId="2" applyNumberFormat="1" applyFont="1" applyFill="1" applyBorder="1" applyAlignment="1">
      <alignment horizontal="center" vertical="center"/>
    </xf>
    <xf numFmtId="166" fontId="2" fillId="5" borderId="9" xfId="2" applyNumberFormat="1" applyFont="1" applyFill="1" applyBorder="1" applyAlignment="1">
      <alignment horizontal="center" vertical="center"/>
    </xf>
    <xf numFmtId="0" fontId="2" fillId="5" borderId="9" xfId="2" applyFont="1" applyFill="1" applyBorder="1" applyAlignment="1">
      <alignment horizontal="center" vertical="center" wrapText="1"/>
    </xf>
  </cellXfs>
  <cellStyles count="5">
    <cellStyle name="Comma [0] 2" xfId="3" xr:uid="{79052939-D558-4E16-8100-1DB91ACCF7E8}"/>
    <cellStyle name="Normal" xfId="0" builtinId="0"/>
    <cellStyle name="Normal 2 2" xfId="4" xr:uid="{8666703E-4D86-498F-B084-CA142BD964C9}"/>
    <cellStyle name="Normal 5" xfId="1" xr:uid="{061A487E-EF33-40E5-A728-05979B6198AD}"/>
    <cellStyle name="Normal 6" xfId="2" xr:uid="{410C3106-0046-4D62-8D0C-A58A3AAF63D5}"/>
  </cellStyles>
  <dxfs count="84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7" tint="0.59996337778862885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8FABDB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8FABDB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8FABDB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fgColor rgb="FFFFFFFF"/>
          <bgColor rgb="FF00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00FF99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rgb="FF8FABDB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8FABD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00FF99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FF99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FF99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8FABDB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269C-4E10-4BB2-95DB-66242A296CDA}">
  <sheetPr>
    <tabColor rgb="FF92D050"/>
  </sheetPr>
  <dimension ref="A1:AL13"/>
  <sheetViews>
    <sheetView tabSelected="1" zoomScale="66" zoomScaleNormal="100" workbookViewId="0">
      <selection activeCell="E16" sqref="E16"/>
    </sheetView>
  </sheetViews>
  <sheetFormatPr defaultRowHeight="14.5" x14ac:dyDescent="0.35"/>
  <cols>
    <col min="1" max="1" width="3.7265625" bestFit="1" customWidth="1"/>
    <col min="2" max="2" width="10" bestFit="1" customWidth="1"/>
    <col min="3" max="3" width="16.08984375" bestFit="1" customWidth="1"/>
    <col min="4" max="4" width="16.08984375" customWidth="1"/>
    <col min="5" max="5" width="40.7265625" bestFit="1" customWidth="1"/>
    <col min="6" max="6" width="15.08984375" customWidth="1"/>
    <col min="7" max="7" width="10.90625" customWidth="1"/>
    <col min="8" max="38" width="11.08984375" customWidth="1"/>
  </cols>
  <sheetData>
    <row r="1" spans="1:38" x14ac:dyDescent="0.35">
      <c r="A1" s="44" t="s">
        <v>0</v>
      </c>
      <c r="B1" s="44" t="s">
        <v>1</v>
      </c>
      <c r="C1" s="44" t="s">
        <v>20</v>
      </c>
      <c r="D1" s="50" t="s">
        <v>315</v>
      </c>
      <c r="E1" s="50" t="s">
        <v>318</v>
      </c>
      <c r="F1" s="50" t="s">
        <v>319</v>
      </c>
      <c r="G1" s="45" t="s">
        <v>316</v>
      </c>
      <c r="H1" s="48">
        <v>46235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</row>
    <row r="2" spans="1:38" x14ac:dyDescent="0.35">
      <c r="A2" s="44"/>
      <c r="B2" s="44"/>
      <c r="C2" s="44"/>
      <c r="D2" s="51"/>
      <c r="E2" s="51"/>
      <c r="F2" s="51"/>
      <c r="G2" s="46"/>
      <c r="H2" s="2">
        <f>H3</f>
        <v>46235</v>
      </c>
      <c r="I2" s="2">
        <f t="shared" ref="I2:AL2" si="0">I3</f>
        <v>46236</v>
      </c>
      <c r="J2" s="2">
        <f t="shared" si="0"/>
        <v>46237</v>
      </c>
      <c r="K2" s="2">
        <f t="shared" si="0"/>
        <v>46238</v>
      </c>
      <c r="L2" s="2">
        <f t="shared" si="0"/>
        <v>46239</v>
      </c>
      <c r="M2" s="2">
        <f t="shared" si="0"/>
        <v>46240</v>
      </c>
      <c r="N2" s="2">
        <f t="shared" si="0"/>
        <v>46241</v>
      </c>
      <c r="O2" s="2">
        <f t="shared" si="0"/>
        <v>46242</v>
      </c>
      <c r="P2" s="2">
        <f t="shared" si="0"/>
        <v>46243</v>
      </c>
      <c r="Q2" s="2">
        <f t="shared" si="0"/>
        <v>46244</v>
      </c>
      <c r="R2" s="2">
        <f t="shared" si="0"/>
        <v>46245</v>
      </c>
      <c r="S2" s="2">
        <f t="shared" si="0"/>
        <v>46246</v>
      </c>
      <c r="T2" s="2">
        <f t="shared" si="0"/>
        <v>46247</v>
      </c>
      <c r="U2" s="2">
        <f t="shared" si="0"/>
        <v>46248</v>
      </c>
      <c r="V2" s="2">
        <f t="shared" si="0"/>
        <v>46249</v>
      </c>
      <c r="W2" s="2">
        <f t="shared" si="0"/>
        <v>46250</v>
      </c>
      <c r="X2" s="2">
        <f t="shared" si="0"/>
        <v>46251</v>
      </c>
      <c r="Y2" s="2">
        <f t="shared" si="0"/>
        <v>46252</v>
      </c>
      <c r="Z2" s="2">
        <f t="shared" si="0"/>
        <v>46253</v>
      </c>
      <c r="AA2" s="2">
        <f t="shared" si="0"/>
        <v>46254</v>
      </c>
      <c r="AB2" s="2">
        <f t="shared" si="0"/>
        <v>46255</v>
      </c>
      <c r="AC2" s="2">
        <f t="shared" si="0"/>
        <v>46256</v>
      </c>
      <c r="AD2" s="2">
        <f t="shared" si="0"/>
        <v>46257</v>
      </c>
      <c r="AE2" s="2">
        <f t="shared" si="0"/>
        <v>46258</v>
      </c>
      <c r="AF2" s="2">
        <f t="shared" si="0"/>
        <v>46259</v>
      </c>
      <c r="AG2" s="2">
        <f t="shared" si="0"/>
        <v>46260</v>
      </c>
      <c r="AH2" s="2">
        <f t="shared" si="0"/>
        <v>46261</v>
      </c>
      <c r="AI2" s="2">
        <f t="shared" si="0"/>
        <v>46262</v>
      </c>
      <c r="AJ2" s="2">
        <f t="shared" si="0"/>
        <v>46263</v>
      </c>
      <c r="AK2" s="2">
        <f t="shared" si="0"/>
        <v>46264</v>
      </c>
      <c r="AL2" s="2">
        <f t="shared" si="0"/>
        <v>46265</v>
      </c>
    </row>
    <row r="3" spans="1:38" x14ac:dyDescent="0.35">
      <c r="A3" s="44"/>
      <c r="B3" s="44"/>
      <c r="C3" s="44"/>
      <c r="D3" s="52"/>
      <c r="E3" s="52"/>
      <c r="F3" s="52"/>
      <c r="G3" s="47"/>
      <c r="H3" s="3">
        <v>46235</v>
      </c>
      <c r="I3" s="3">
        <f>H3+1</f>
        <v>46236</v>
      </c>
      <c r="J3" s="3">
        <f t="shared" ref="J3:AL3" si="1">I3+1</f>
        <v>46237</v>
      </c>
      <c r="K3" s="3">
        <f t="shared" si="1"/>
        <v>46238</v>
      </c>
      <c r="L3" s="3">
        <f t="shared" si="1"/>
        <v>46239</v>
      </c>
      <c r="M3" s="3">
        <f t="shared" si="1"/>
        <v>46240</v>
      </c>
      <c r="N3" s="3">
        <f t="shared" si="1"/>
        <v>46241</v>
      </c>
      <c r="O3" s="3">
        <f t="shared" si="1"/>
        <v>46242</v>
      </c>
      <c r="P3" s="3">
        <f t="shared" si="1"/>
        <v>46243</v>
      </c>
      <c r="Q3" s="3">
        <f t="shared" si="1"/>
        <v>46244</v>
      </c>
      <c r="R3" s="3">
        <f t="shared" si="1"/>
        <v>46245</v>
      </c>
      <c r="S3" s="3">
        <f t="shared" si="1"/>
        <v>46246</v>
      </c>
      <c r="T3" s="3">
        <f t="shared" si="1"/>
        <v>46247</v>
      </c>
      <c r="U3" s="3">
        <f t="shared" si="1"/>
        <v>46248</v>
      </c>
      <c r="V3" s="3">
        <f t="shared" si="1"/>
        <v>46249</v>
      </c>
      <c r="W3" s="3">
        <f t="shared" si="1"/>
        <v>46250</v>
      </c>
      <c r="X3" s="3">
        <f t="shared" si="1"/>
        <v>46251</v>
      </c>
      <c r="Y3" s="3">
        <f t="shared" si="1"/>
        <v>46252</v>
      </c>
      <c r="Z3" s="3">
        <f t="shared" si="1"/>
        <v>46253</v>
      </c>
      <c r="AA3" s="3">
        <f t="shared" si="1"/>
        <v>46254</v>
      </c>
      <c r="AB3" s="3">
        <f t="shared" si="1"/>
        <v>46255</v>
      </c>
      <c r="AC3" s="3">
        <f t="shared" si="1"/>
        <v>46256</v>
      </c>
      <c r="AD3" s="3">
        <f t="shared" si="1"/>
        <v>46257</v>
      </c>
      <c r="AE3" s="3">
        <f t="shared" si="1"/>
        <v>46258</v>
      </c>
      <c r="AF3" s="3">
        <f t="shared" si="1"/>
        <v>46259</v>
      </c>
      <c r="AG3" s="3">
        <f t="shared" si="1"/>
        <v>46260</v>
      </c>
      <c r="AH3" s="3">
        <f t="shared" si="1"/>
        <v>46261</v>
      </c>
      <c r="AI3" s="3">
        <f t="shared" si="1"/>
        <v>46262</v>
      </c>
      <c r="AJ3" s="3">
        <f t="shared" si="1"/>
        <v>46263</v>
      </c>
      <c r="AK3" s="3">
        <f t="shared" si="1"/>
        <v>46264</v>
      </c>
      <c r="AL3" s="3">
        <f t="shared" si="1"/>
        <v>46265</v>
      </c>
    </row>
    <row r="4" spans="1:38" ht="17" x14ac:dyDescent="0.35">
      <c r="A4" s="1">
        <v>1</v>
      </c>
      <c r="B4" s="4">
        <v>102111001</v>
      </c>
      <c r="C4" s="5" t="s">
        <v>3</v>
      </c>
      <c r="D4" s="5" t="s">
        <v>2</v>
      </c>
      <c r="E4" s="5" t="s">
        <v>322</v>
      </c>
      <c r="F4" s="5">
        <f>MOD(14-(MATCH("OFF",H4:AL4,0)-1)-1,14)+1</f>
        <v>8</v>
      </c>
      <c r="G4" s="5" t="s">
        <v>317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5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T4" s="6" t="s">
        <v>4</v>
      </c>
      <c r="U4" s="6" t="s">
        <v>4</v>
      </c>
      <c r="V4" s="6" t="s">
        <v>4</v>
      </c>
      <c r="W4" s="6" t="s">
        <v>4</v>
      </c>
      <c r="X4" s="6" t="s">
        <v>6</v>
      </c>
      <c r="Y4" s="6" t="s">
        <v>4</v>
      </c>
      <c r="Z4" s="6" t="s">
        <v>4</v>
      </c>
      <c r="AA4" s="6" t="s">
        <v>4</v>
      </c>
      <c r="AB4" s="6" t="s">
        <v>5</v>
      </c>
      <c r="AC4" s="6" t="s">
        <v>4</v>
      </c>
      <c r="AD4" s="6" t="s">
        <v>4</v>
      </c>
      <c r="AE4" s="6" t="s">
        <v>4</v>
      </c>
      <c r="AF4" s="6" t="s">
        <v>4</v>
      </c>
      <c r="AG4" s="6" t="s">
        <v>4</v>
      </c>
      <c r="AH4" s="6" t="s">
        <v>4</v>
      </c>
      <c r="AI4" s="6" t="s">
        <v>4</v>
      </c>
      <c r="AJ4" s="6" t="s">
        <v>4</v>
      </c>
      <c r="AK4" s="6" t="s">
        <v>4</v>
      </c>
      <c r="AL4" s="6" t="s">
        <v>4</v>
      </c>
    </row>
    <row r="5" spans="1:38" ht="17" x14ac:dyDescent="0.35">
      <c r="A5" s="1">
        <f t="shared" ref="A5:A8" si="2">A4+1</f>
        <v>2</v>
      </c>
      <c r="B5" s="4">
        <v>10151021</v>
      </c>
      <c r="C5" s="5" t="s">
        <v>8</v>
      </c>
      <c r="D5" s="5" t="s">
        <v>7</v>
      </c>
      <c r="E5" s="5" t="s">
        <v>320</v>
      </c>
      <c r="F5" s="5">
        <f t="shared" ref="F5:F8" si="3">MOD(14-(MATCH("OFF",H5:AL5,0)-1)-1,14)+1</f>
        <v>14</v>
      </c>
      <c r="G5" s="5" t="s">
        <v>317</v>
      </c>
      <c r="H5" s="7" t="s">
        <v>5</v>
      </c>
      <c r="I5" s="6" t="s">
        <v>4</v>
      </c>
      <c r="J5" s="6" t="s">
        <v>4</v>
      </c>
      <c r="K5" s="6" t="s">
        <v>4</v>
      </c>
      <c r="L5" s="6" t="s">
        <v>4</v>
      </c>
      <c r="M5" s="6" t="s">
        <v>4</v>
      </c>
      <c r="N5" s="6" t="s">
        <v>4</v>
      </c>
      <c r="O5" s="6" t="s">
        <v>4</v>
      </c>
      <c r="P5" s="6" t="s">
        <v>9</v>
      </c>
      <c r="Q5" s="6" t="s">
        <v>9</v>
      </c>
      <c r="R5" s="6" t="s">
        <v>9</v>
      </c>
      <c r="S5" s="6" t="s">
        <v>9</v>
      </c>
      <c r="T5" s="6" t="s">
        <v>9</v>
      </c>
      <c r="U5" s="6" t="s">
        <v>9</v>
      </c>
      <c r="V5" s="6" t="s">
        <v>9</v>
      </c>
      <c r="W5" s="6" t="s">
        <v>9</v>
      </c>
      <c r="X5" s="6" t="s">
        <v>9</v>
      </c>
      <c r="Y5" s="6" t="s">
        <v>9</v>
      </c>
      <c r="Z5" s="6" t="s">
        <v>9</v>
      </c>
      <c r="AA5" s="6" t="s">
        <v>9</v>
      </c>
      <c r="AB5" s="6" t="s">
        <v>9</v>
      </c>
      <c r="AC5" s="8" t="s">
        <v>9</v>
      </c>
      <c r="AD5" s="8" t="s">
        <v>9</v>
      </c>
      <c r="AE5" s="8" t="s">
        <v>9</v>
      </c>
      <c r="AF5" s="8" t="s">
        <v>9</v>
      </c>
      <c r="AG5" s="8" t="s">
        <v>10</v>
      </c>
      <c r="AH5" s="8" t="s">
        <v>10</v>
      </c>
      <c r="AI5" s="8" t="s">
        <v>10</v>
      </c>
      <c r="AJ5" s="6" t="s">
        <v>4</v>
      </c>
      <c r="AK5" s="6" t="s">
        <v>4</v>
      </c>
      <c r="AL5" s="6" t="s">
        <v>4</v>
      </c>
    </row>
    <row r="6" spans="1:38" ht="17" x14ac:dyDescent="0.35">
      <c r="A6" s="1">
        <f t="shared" si="2"/>
        <v>3</v>
      </c>
      <c r="B6" s="4">
        <v>102311001</v>
      </c>
      <c r="C6" s="5" t="s">
        <v>12</v>
      </c>
      <c r="D6" s="5" t="s">
        <v>11</v>
      </c>
      <c r="E6" s="5" t="s">
        <v>321</v>
      </c>
      <c r="F6" s="5">
        <f t="shared" si="3"/>
        <v>8</v>
      </c>
      <c r="G6" s="5" t="s">
        <v>317</v>
      </c>
      <c r="H6" s="6" t="s">
        <v>4</v>
      </c>
      <c r="I6" s="6" t="s">
        <v>4</v>
      </c>
      <c r="J6" s="6" t="s">
        <v>4</v>
      </c>
      <c r="K6" s="6" t="s">
        <v>4</v>
      </c>
      <c r="L6" s="6" t="s">
        <v>4</v>
      </c>
      <c r="M6" s="6" t="s">
        <v>4</v>
      </c>
      <c r="N6" s="6" t="s">
        <v>5</v>
      </c>
      <c r="O6" s="6" t="s">
        <v>4</v>
      </c>
      <c r="P6" s="6" t="s">
        <v>4</v>
      </c>
      <c r="Q6" s="6" t="s">
        <v>4</v>
      </c>
      <c r="R6" s="6" t="s">
        <v>4</v>
      </c>
      <c r="S6" s="6" t="s">
        <v>4</v>
      </c>
      <c r="T6" s="6" t="s">
        <v>4</v>
      </c>
      <c r="U6" s="6" t="s">
        <v>4</v>
      </c>
      <c r="V6" s="6" t="s">
        <v>4</v>
      </c>
      <c r="W6" s="6" t="s">
        <v>4</v>
      </c>
      <c r="X6" s="6" t="s">
        <v>6</v>
      </c>
      <c r="Y6" s="6" t="s">
        <v>4</v>
      </c>
      <c r="Z6" s="6" t="s">
        <v>4</v>
      </c>
      <c r="AA6" s="6" t="s">
        <v>4</v>
      </c>
      <c r="AB6" s="6" t="s">
        <v>5</v>
      </c>
      <c r="AC6" s="6" t="s">
        <v>4</v>
      </c>
      <c r="AD6" s="6" t="s">
        <v>4</v>
      </c>
      <c r="AE6" s="6" t="s">
        <v>4</v>
      </c>
      <c r="AF6" s="6" t="s">
        <v>4</v>
      </c>
      <c r="AG6" s="6" t="s">
        <v>4</v>
      </c>
      <c r="AH6" s="6" t="s">
        <v>4</v>
      </c>
      <c r="AI6" s="6" t="s">
        <v>4</v>
      </c>
      <c r="AJ6" s="6" t="s">
        <v>4</v>
      </c>
      <c r="AK6" s="6" t="s">
        <v>4</v>
      </c>
      <c r="AL6" s="6" t="s">
        <v>4</v>
      </c>
    </row>
    <row r="7" spans="1:38" ht="17" x14ac:dyDescent="0.35">
      <c r="A7" s="1">
        <f t="shared" si="2"/>
        <v>4</v>
      </c>
      <c r="B7" s="4">
        <v>202311002</v>
      </c>
      <c r="C7" s="5" t="s">
        <v>13</v>
      </c>
      <c r="D7" s="5" t="s">
        <v>7</v>
      </c>
      <c r="E7" s="5" t="s">
        <v>320</v>
      </c>
      <c r="F7" s="5">
        <f t="shared" si="3"/>
        <v>10</v>
      </c>
      <c r="G7" s="5" t="s">
        <v>317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5</v>
      </c>
      <c r="M7" s="9" t="s">
        <v>4</v>
      </c>
      <c r="N7" s="9" t="s">
        <v>4</v>
      </c>
      <c r="O7" s="9" t="s">
        <v>4</v>
      </c>
      <c r="P7" s="9" t="s">
        <v>4</v>
      </c>
      <c r="Q7" s="9" t="s">
        <v>4</v>
      </c>
      <c r="R7" s="9" t="s">
        <v>4</v>
      </c>
      <c r="S7" s="9" t="s">
        <v>4</v>
      </c>
      <c r="T7" s="9" t="s">
        <v>4</v>
      </c>
      <c r="U7" s="9" t="s">
        <v>14</v>
      </c>
      <c r="V7" s="9" t="s">
        <v>14</v>
      </c>
      <c r="W7" s="9" t="s">
        <v>14</v>
      </c>
      <c r="X7" s="6" t="s">
        <v>6</v>
      </c>
      <c r="Y7" s="9" t="s">
        <v>14</v>
      </c>
      <c r="Z7" s="9" t="s">
        <v>5</v>
      </c>
      <c r="AA7" s="9" t="s">
        <v>4</v>
      </c>
      <c r="AB7" s="9" t="s">
        <v>4</v>
      </c>
      <c r="AC7" s="9" t="s">
        <v>4</v>
      </c>
      <c r="AD7" s="9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14</v>
      </c>
      <c r="AL7" s="9" t="s">
        <v>14</v>
      </c>
    </row>
    <row r="8" spans="1:38" ht="17" x14ac:dyDescent="0.35">
      <c r="A8" s="1">
        <f t="shared" si="2"/>
        <v>5</v>
      </c>
      <c r="B8" s="4">
        <v>102401001</v>
      </c>
      <c r="C8" s="5" t="s">
        <v>15</v>
      </c>
      <c r="D8" s="5" t="s">
        <v>7</v>
      </c>
      <c r="E8" s="5" t="s">
        <v>320</v>
      </c>
      <c r="F8" s="5">
        <f t="shared" si="3"/>
        <v>12</v>
      </c>
      <c r="G8" s="5" t="s">
        <v>317</v>
      </c>
      <c r="H8" s="10" t="s">
        <v>14</v>
      </c>
      <c r="I8" s="10" t="s">
        <v>14</v>
      </c>
      <c r="J8" s="6" t="s">
        <v>5</v>
      </c>
      <c r="K8" s="6" t="s">
        <v>4</v>
      </c>
      <c r="L8" s="6" t="s">
        <v>4</v>
      </c>
      <c r="M8" s="6" t="s">
        <v>4</v>
      </c>
      <c r="N8" s="6" t="s">
        <v>4</v>
      </c>
      <c r="O8" s="6" t="s">
        <v>4</v>
      </c>
      <c r="P8" s="6" t="s">
        <v>4</v>
      </c>
      <c r="Q8" s="6" t="s">
        <v>4</v>
      </c>
      <c r="R8" s="6" t="s">
        <v>4</v>
      </c>
      <c r="S8" s="6" t="s">
        <v>4</v>
      </c>
      <c r="T8" s="11" t="s">
        <v>14</v>
      </c>
      <c r="U8" s="11" t="s">
        <v>14</v>
      </c>
      <c r="V8" s="11" t="s">
        <v>14</v>
      </c>
      <c r="W8" s="11" t="s">
        <v>14</v>
      </c>
      <c r="X8" s="6" t="s">
        <v>5</v>
      </c>
      <c r="Y8" s="8" t="s">
        <v>16</v>
      </c>
      <c r="Z8" s="8" t="s">
        <v>16</v>
      </c>
      <c r="AA8" s="8" t="s">
        <v>9</v>
      </c>
      <c r="AB8" s="8" t="s">
        <v>9</v>
      </c>
      <c r="AC8" s="8" t="s">
        <v>9</v>
      </c>
      <c r="AD8" s="8" t="s">
        <v>9</v>
      </c>
      <c r="AE8" s="8" t="s">
        <v>9</v>
      </c>
      <c r="AF8" s="8" t="s">
        <v>9</v>
      </c>
      <c r="AG8" s="8" t="s">
        <v>9</v>
      </c>
      <c r="AH8" s="8" t="s">
        <v>9</v>
      </c>
      <c r="AI8" s="8" t="s">
        <v>9</v>
      </c>
      <c r="AJ8" s="8" t="s">
        <v>9</v>
      </c>
      <c r="AK8" s="8" t="s">
        <v>9</v>
      </c>
      <c r="AL8" s="12" t="s">
        <v>9</v>
      </c>
    </row>
    <row r="13" spans="1:38" x14ac:dyDescent="0.35">
      <c r="AL13" t="s">
        <v>17</v>
      </c>
    </row>
  </sheetData>
  <mergeCells count="8">
    <mergeCell ref="A1:A3"/>
    <mergeCell ref="B1:B3"/>
    <mergeCell ref="C1:C3"/>
    <mergeCell ref="G1:G3"/>
    <mergeCell ref="H1:AL1"/>
    <mergeCell ref="D1:D3"/>
    <mergeCell ref="E1:E3"/>
    <mergeCell ref="F1:F3"/>
  </mergeCells>
  <conditionalFormatting sqref="H8:I8">
    <cfRule type="containsText" dxfId="843" priority="641" operator="containsText" text="F84">
      <formula>NOT(ISERROR(SEARCH("F84",H8)))</formula>
    </cfRule>
    <cfRule type="containsText" dxfId="842" priority="644" operator="containsText" text="F84">
      <formula>NOT(ISERROR(SEARCH("F84",H8)))</formula>
    </cfRule>
    <cfRule type="containsText" dxfId="841" priority="645" operator="containsText" text="WH">
      <formula>NOT(ISERROR(SEARCH("WH",H8)))</formula>
    </cfRule>
    <cfRule type="containsText" dxfId="840" priority="646" operator="containsText" text="TH">
      <formula>NOT(ISERROR(SEARCH("TH",H8)))</formula>
    </cfRule>
    <cfRule type="containsText" dxfId="839" priority="640" operator="containsText" text="TH">
      <formula>NOT(ISERROR(SEARCH("TH",H8)))</formula>
    </cfRule>
    <cfRule type="containsText" dxfId="838" priority="647" operator="containsText" text="F84">
      <formula>NOT(ISERROR(SEARCH("F84",H8)))</formula>
    </cfRule>
    <cfRule type="containsText" dxfId="837" priority="650" operator="containsText" text="F84">
      <formula>NOT(ISERROR(SEARCH("F84",H8)))</formula>
    </cfRule>
    <cfRule type="containsText" dxfId="836" priority="648" operator="containsText" text="WH">
      <formula>NOT(ISERROR(SEARCH("WH",H8)))</formula>
    </cfRule>
    <cfRule type="containsText" dxfId="835" priority="654" operator="containsText" text="WH">
      <formula>NOT(ISERROR(SEARCH("WH",H8)))</formula>
    </cfRule>
    <cfRule type="containsText" dxfId="834" priority="637" operator="containsText" text="TH">
      <formula>NOT(ISERROR(SEARCH("TH",H8)))</formula>
    </cfRule>
    <cfRule type="containsText" dxfId="833" priority="638" operator="containsText" text="WH">
      <formula>NOT(ISERROR(SEARCH("WH",H8)))</formula>
    </cfRule>
    <cfRule type="containsText" dxfId="832" priority="639" operator="containsText" text="F84">
      <formula>NOT(ISERROR(SEARCH("F84",H8)))</formula>
    </cfRule>
    <cfRule type="containsText" dxfId="831" priority="649" operator="containsText" text="TH">
      <formula>NOT(ISERROR(SEARCH("TH",H8)))</formula>
    </cfRule>
    <cfRule type="containsText" dxfId="830" priority="642" operator="containsText" text="WH">
      <formula>NOT(ISERROR(SEARCH("WH",H8)))</formula>
    </cfRule>
    <cfRule type="containsText" dxfId="829" priority="643" operator="containsText" text="TH">
      <formula>NOT(ISERROR(SEARCH("TH",H8)))</formula>
    </cfRule>
    <cfRule type="containsText" dxfId="828" priority="653" operator="containsText" text="F84">
      <formula>NOT(ISERROR(SEARCH("F84",H8)))</formula>
    </cfRule>
    <cfRule type="containsText" dxfId="827" priority="652" operator="containsText" text="TH">
      <formula>NOT(ISERROR(SEARCH("TH",H8)))</formula>
    </cfRule>
    <cfRule type="containsText" dxfId="826" priority="651" operator="containsText" text="WH">
      <formula>NOT(ISERROR(SEARCH("WH",H8)))</formula>
    </cfRule>
    <cfRule type="containsText" dxfId="825" priority="655" operator="containsText" text="CT16">
      <formula>NOT(ISERROR(SEARCH("CT16",H8)))</formula>
    </cfRule>
    <cfRule type="containsText" dxfId="824" priority="656" operator="containsText" text="CT12">
      <formula>NOT(ISERROR(SEARCH("CT12",H8)))</formula>
    </cfRule>
    <cfRule type="containsText" dxfId="823" priority="657" operator="containsText" text="MCT">
      <formula>NOT(ISERROR(SEARCH("MCT",H8)))</formula>
    </cfRule>
    <cfRule type="containsText" dxfId="822" priority="658" operator="containsText" text="C">
      <formula>NOT(ISERROR(SEARCH("C",H8)))</formula>
    </cfRule>
    <cfRule type="containsText" dxfId="821" priority="659" operator="containsText" text="OFF">
      <formula>NOT(ISERROR(SEARCH("OFF",H8)))</formula>
    </cfRule>
  </conditionalFormatting>
  <conditionalFormatting sqref="H7:K7">
    <cfRule type="containsText" dxfId="820" priority="508" operator="containsText" text="N">
      <formula>NOT(ISERROR(SEARCH("N",H7)))</formula>
    </cfRule>
    <cfRule type="containsText" dxfId="819" priority="509" operator="containsText" text="OFF">
      <formula>NOT(ISERROR(SEARCH("OFF",H7)))</formula>
    </cfRule>
    <cfRule type="containsText" dxfId="818" priority="503" operator="containsText" text="PSR">
      <formula>NOT(ISERROR(SEARCH("PSR",H7)))</formula>
    </cfRule>
    <cfRule type="containsText" dxfId="817" priority="513" operator="containsText" text="OFF">
      <formula>NOT(ISERROR(SEARCH("OFF",H7)))</formula>
    </cfRule>
    <cfRule type="containsText" dxfId="816" priority="512" operator="containsText" text="N">
      <formula>NOT(ISERROR(SEARCH("N",H7)))</formula>
    </cfRule>
    <cfRule type="containsText" dxfId="815" priority="502" operator="containsText" text="PSr">
      <formula>NOT(ISERROR(SEARCH("PSr",H7)))</formula>
    </cfRule>
    <cfRule type="containsText" dxfId="814" priority="511" operator="containsText" text="OFF">
      <formula>NOT(ISERROR(SEARCH("OFF",H7)))</formula>
    </cfRule>
    <cfRule type="containsText" dxfId="813" priority="510" operator="containsText" text="N">
      <formula>NOT(ISERROR(SEARCH("N",H7)))</formula>
    </cfRule>
    <cfRule type="containsText" dxfId="812" priority="506" operator="containsText" text="N">
      <formula>NOT(ISERROR(SEARCH("N",H7)))</formula>
    </cfRule>
    <cfRule type="containsText" dxfId="811" priority="499" operator="containsText" text="N">
      <formula>NOT(ISERROR(SEARCH("N",H7)))</formula>
    </cfRule>
    <cfRule type="containsText" dxfId="810" priority="500" operator="containsText" text="OFF">
      <formula>NOT(ISERROR(SEARCH("OFF",H7)))</formula>
    </cfRule>
    <cfRule type="cellIs" dxfId="809" priority="501" operator="equal">
      <formula>"C"</formula>
    </cfRule>
    <cfRule type="containsText" dxfId="808" priority="507" operator="containsText" text="OFF">
      <formula>NOT(ISERROR(SEARCH("OFF",H7)))</formula>
    </cfRule>
    <cfRule type="containsText" dxfId="807" priority="540" operator="containsText" text="N">
      <formula>NOT(ISERROR(SEARCH("N",H7)))</formula>
    </cfRule>
    <cfRule type="cellIs" dxfId="806" priority="505" operator="equal">
      <formula>"C"</formula>
    </cfRule>
    <cfRule type="containsText" dxfId="805" priority="504" operator="containsText" text="PSR">
      <formula>NOT(ISERROR(SEARCH("PSR",H7)))</formula>
    </cfRule>
    <cfRule type="containsText" dxfId="804" priority="543" operator="containsText" text="OFF">
      <formula>NOT(ISERROR(SEARCH("OFF",H7)))</formula>
    </cfRule>
    <cfRule type="containsText" dxfId="803" priority="542" operator="containsText" text="N">
      <formula>NOT(ISERROR(SEARCH("N",H7)))</formula>
    </cfRule>
    <cfRule type="containsText" dxfId="802" priority="541" operator="containsText" text="OFF">
      <formula>NOT(ISERROR(SEARCH("OFF",H7)))</formula>
    </cfRule>
  </conditionalFormatting>
  <conditionalFormatting sqref="H7:L7">
    <cfRule type="containsText" dxfId="801" priority="491" operator="containsText" text="PSr">
      <formula>NOT(ISERROR(SEARCH("PSr",H7)))</formula>
    </cfRule>
    <cfRule type="containsText" dxfId="800" priority="492" operator="containsText" text="PSR">
      <formula>NOT(ISERROR(SEARCH("PSR",H7)))</formula>
    </cfRule>
    <cfRule type="containsText" dxfId="799" priority="493" operator="containsText" text="PSR">
      <formula>NOT(ISERROR(SEARCH("PSR",H7)))</formula>
    </cfRule>
    <cfRule type="containsText" dxfId="798" priority="498" operator="containsText" text="OFF">
      <formula>NOT(ISERROR(SEARCH("OFF",H7)))</formula>
    </cfRule>
    <cfRule type="containsText" dxfId="797" priority="497" operator="containsText" text="N">
      <formula>NOT(ISERROR(SEARCH("N",H7)))</formula>
    </cfRule>
  </conditionalFormatting>
  <conditionalFormatting sqref="H5:O5 H6:M6 O6:W6 Y6:AA6 AC6:AL6">
    <cfRule type="containsText" dxfId="796" priority="844" operator="containsText" text="OFF">
      <formula>NOT(ISERROR(SEARCH("OFF",H5)))</formula>
    </cfRule>
  </conditionalFormatting>
  <conditionalFormatting sqref="H6:W6">
    <cfRule type="containsText" dxfId="795" priority="18" operator="containsText" text="F84">
      <formula>NOT(ISERROR(SEARCH("F84",H6)))</formula>
    </cfRule>
    <cfRule type="containsText" dxfId="794" priority="17" operator="containsText" text="WH">
      <formula>NOT(ISERROR(SEARCH("WH",H6)))</formula>
    </cfRule>
    <cfRule type="containsText" dxfId="793" priority="16" operator="containsText" text="TH">
      <formula>NOT(ISERROR(SEARCH("TH",H6)))</formula>
    </cfRule>
  </conditionalFormatting>
  <conditionalFormatting sqref="H7:W7 Y7:AL7">
    <cfRule type="containsText" dxfId="792" priority="548" operator="containsText" text="N">
      <formula>NOT(ISERROR(SEARCH("N",H7)))</formula>
    </cfRule>
    <cfRule type="containsText" dxfId="791" priority="518" operator="containsText" text="OFF">
      <formula>NOT(ISERROR(SEARCH("OFF",H7)))</formula>
    </cfRule>
    <cfRule type="containsText" dxfId="790" priority="517" operator="containsText" text="N">
      <formula>NOT(ISERROR(SEARCH("N",H7)))</formula>
    </cfRule>
    <cfRule type="containsText" dxfId="789" priority="516" operator="containsText" text="PSR">
      <formula>NOT(ISERROR(SEARCH("PSR",H7)))</formula>
    </cfRule>
    <cfRule type="containsText" dxfId="788" priority="515" operator="containsText" text="PSR">
      <formula>NOT(ISERROR(SEARCH("PSR",H7)))</formula>
    </cfRule>
    <cfRule type="containsText" dxfId="787" priority="514" operator="containsText" text="PSr">
      <formula>NOT(ISERROR(SEARCH("PSr",H7)))</formula>
    </cfRule>
    <cfRule type="containsText" dxfId="786" priority="523" operator="containsText" text="OFF">
      <formula>NOT(ISERROR(SEARCH("OFF",H7)))</formula>
    </cfRule>
    <cfRule type="containsText" dxfId="785" priority="528" operator="containsText" text="PSr">
      <formula>NOT(ISERROR(SEARCH("PSr",H7)))</formula>
    </cfRule>
    <cfRule type="containsText" dxfId="784" priority="547" operator="containsText" text="OFF">
      <formula>NOT(ISERROR(SEARCH("OFF",H7)))</formula>
    </cfRule>
    <cfRule type="containsText" dxfId="783" priority="546" operator="containsText" text="N">
      <formula>NOT(ISERROR(SEARCH("N",H7)))</formula>
    </cfRule>
    <cfRule type="containsText" dxfId="782" priority="545" operator="containsText" text="OFF">
      <formula>NOT(ISERROR(SEARCH("OFF",H7)))</formula>
    </cfRule>
    <cfRule type="containsText" dxfId="781" priority="544" operator="containsText" text="N">
      <formula>NOT(ISERROR(SEARCH("N",H7)))</formula>
    </cfRule>
    <cfRule type="cellIs" dxfId="780" priority="539" operator="equal">
      <formula>"C"</formula>
    </cfRule>
    <cfRule type="containsText" dxfId="779" priority="538" operator="containsText" text="OFF">
      <formula>NOT(ISERROR(SEARCH("OFF",H7)))</formula>
    </cfRule>
    <cfRule type="containsText" dxfId="778" priority="537" operator="containsText" text="N">
      <formula>NOT(ISERROR(SEARCH("N",H7)))</formula>
    </cfRule>
    <cfRule type="containsText" dxfId="777" priority="536" operator="containsText" text="OFF">
      <formula>NOT(ISERROR(SEARCH("OFF",H7)))</formula>
    </cfRule>
    <cfRule type="containsText" dxfId="776" priority="535" operator="containsText" text="N">
      <formula>NOT(ISERROR(SEARCH("N",H7)))</formula>
    </cfRule>
    <cfRule type="containsText" dxfId="775" priority="534" operator="containsText" text="PSR">
      <formula>NOT(ISERROR(SEARCH("PSR",H7)))</formula>
    </cfRule>
    <cfRule type="containsText" dxfId="774" priority="533" operator="containsText" text="PSR">
      <formula>NOT(ISERROR(SEARCH("PSR",H7)))</formula>
    </cfRule>
    <cfRule type="containsText" dxfId="773" priority="532" operator="containsText" text="PSr">
      <formula>NOT(ISERROR(SEARCH("PSr",H7)))</formula>
    </cfRule>
    <cfRule type="cellIs" dxfId="772" priority="531" operator="equal">
      <formula>"C"</formula>
    </cfRule>
    <cfRule type="containsText" dxfId="771" priority="530" operator="containsText" text="PSR">
      <formula>NOT(ISERROR(SEARCH("PSR",H7)))</formula>
    </cfRule>
    <cfRule type="containsText" dxfId="770" priority="529" operator="containsText" text="PSR">
      <formula>NOT(ISERROR(SEARCH("PSR",H7)))</formula>
    </cfRule>
    <cfRule type="containsText" dxfId="769" priority="527" operator="containsText" text="N">
      <formula>NOT(ISERROR(SEARCH("N",H7)))</formula>
    </cfRule>
    <cfRule type="containsText" dxfId="768" priority="526" operator="containsText" text="N">
      <formula>NOT(ISERROR(SEARCH("N",H7)))</formula>
    </cfRule>
    <cfRule type="containsText" dxfId="767" priority="525" operator="containsText" text="OFF">
      <formula>NOT(ISERROR(SEARCH("OFF",H7)))</formula>
    </cfRule>
    <cfRule type="containsText" dxfId="766" priority="524" operator="containsText" text="N">
      <formula>NOT(ISERROR(SEARCH("N",H7)))</formula>
    </cfRule>
    <cfRule type="containsText" dxfId="765" priority="522" operator="containsText" text="N">
      <formula>NOT(ISERROR(SEARCH("N",H7)))</formula>
    </cfRule>
    <cfRule type="cellIs" dxfId="764" priority="521" operator="equal">
      <formula>"C"</formula>
    </cfRule>
    <cfRule type="containsText" dxfId="763" priority="520" operator="containsText" text="OFF">
      <formula>NOT(ISERROR(SEARCH("OFF",H7)))</formula>
    </cfRule>
    <cfRule type="containsText" dxfId="762" priority="519" operator="containsText" text="N">
      <formula>NOT(ISERROR(SEARCH("N",H7)))</formula>
    </cfRule>
  </conditionalFormatting>
  <conditionalFormatting sqref="H4:AL4 X6:X7">
    <cfRule type="containsText" dxfId="761" priority="31" operator="containsText" text="CT16">
      <formula>NOT(ISERROR(SEARCH("CT16",H4)))</formula>
    </cfRule>
    <cfRule type="containsText" dxfId="760" priority="27" operator="containsText" text="F84">
      <formula>NOT(ISERROR(SEARCH("F84",H4)))</formula>
    </cfRule>
    <cfRule type="containsText" dxfId="759" priority="25" operator="containsText" text="TH">
      <formula>NOT(ISERROR(SEARCH("TH",H4)))</formula>
    </cfRule>
    <cfRule type="containsText" dxfId="758" priority="26" operator="containsText" text="WH">
      <formula>NOT(ISERROR(SEARCH("WH",H4)))</formula>
    </cfRule>
    <cfRule type="containsText" dxfId="757" priority="35" operator="containsText" text="OFF">
      <formula>NOT(ISERROR(SEARCH("OFF",H4)))</formula>
    </cfRule>
    <cfRule type="containsText" dxfId="756" priority="34" operator="containsText" text="C">
      <formula>NOT(ISERROR(SEARCH("C",H4)))</formula>
    </cfRule>
    <cfRule type="containsText" dxfId="755" priority="33" operator="containsText" text="MCT">
      <formula>NOT(ISERROR(SEARCH("MCT",H4)))</formula>
    </cfRule>
    <cfRule type="containsText" dxfId="754" priority="30" operator="containsText" text="F84">
      <formula>NOT(ISERROR(SEARCH("F84",H4)))</formula>
    </cfRule>
    <cfRule type="containsText" dxfId="753" priority="29" operator="containsText" text="WH">
      <formula>NOT(ISERROR(SEARCH("WH",H4)))</formula>
    </cfRule>
    <cfRule type="containsText" dxfId="752" priority="28" operator="containsText" text="TH">
      <formula>NOT(ISERROR(SEARCH("TH",H4)))</formula>
    </cfRule>
    <cfRule type="containsText" dxfId="751" priority="36" operator="containsText" text="OFF">
      <formula>NOT(ISERROR(SEARCH("OFF",H4)))</formula>
    </cfRule>
    <cfRule type="containsText" dxfId="750" priority="32" operator="containsText" text="CT12">
      <formula>NOT(ISERROR(SEARCH("CT12",H4)))</formula>
    </cfRule>
  </conditionalFormatting>
  <conditionalFormatting sqref="I5:O5 H6:M6 O6:W6 Y6:AA6 AC6:AL6">
    <cfRule type="containsText" dxfId="749" priority="836" operator="containsText" text="TH">
      <formula>NOT(ISERROR(SEARCH("TH",H5)))</formula>
    </cfRule>
    <cfRule type="containsText" dxfId="748" priority="838" operator="containsText" text="F84">
      <formula>NOT(ISERROR(SEARCH("F84",H5)))</formula>
    </cfRule>
    <cfRule type="containsText" dxfId="747" priority="837" operator="containsText" text="WH">
      <formula>NOT(ISERROR(SEARCH("WH",H5)))</formula>
    </cfRule>
    <cfRule type="containsText" dxfId="746" priority="843" operator="containsText" text="OFF">
      <formula>NOT(ISERROR(SEARCH("OFF",H5)))</formula>
    </cfRule>
    <cfRule type="containsText" dxfId="745" priority="842" operator="containsText" text="C">
      <formula>NOT(ISERROR(SEARCH("C",H5)))</formula>
    </cfRule>
    <cfRule type="containsText" dxfId="744" priority="841" operator="containsText" text="MCT">
      <formula>NOT(ISERROR(SEARCH("MCT",H5)))</formula>
    </cfRule>
    <cfRule type="containsText" dxfId="743" priority="840" operator="containsText" text="CT12">
      <formula>NOT(ISERROR(SEARCH("CT12",H5)))</formula>
    </cfRule>
    <cfRule type="containsText" dxfId="742" priority="839" operator="containsText" text="CT16">
      <formula>NOT(ISERROR(SEARCH("CT16",H5)))</formula>
    </cfRule>
  </conditionalFormatting>
  <conditionalFormatting sqref="I5:AB5">
    <cfRule type="containsText" dxfId="741" priority="830" operator="containsText" text="F84">
      <formula>NOT(ISERROR(SEARCH("F84",I5)))</formula>
    </cfRule>
    <cfRule type="containsText" dxfId="740" priority="829" operator="containsText" text="WH">
      <formula>NOT(ISERROR(SEARCH("WH",I5)))</formula>
    </cfRule>
    <cfRule type="containsText" dxfId="739" priority="828" operator="containsText" text="TH">
      <formula>NOT(ISERROR(SEARCH("TH",I5)))</formula>
    </cfRule>
  </conditionalFormatting>
  <conditionalFormatting sqref="J8:S8">
    <cfRule type="containsText" dxfId="738" priority="636" operator="containsText" text="OFF">
      <formula>NOT(ISERROR(SEARCH("OFF",J8)))</formula>
    </cfRule>
  </conditionalFormatting>
  <conditionalFormatting sqref="K8:S8">
    <cfRule type="containsText" dxfId="737" priority="629" operator="containsText" text="WH">
      <formula>NOT(ISERROR(SEARCH("WH",K8)))</formula>
    </cfRule>
    <cfRule type="containsText" dxfId="736" priority="634" operator="containsText" text="C">
      <formula>NOT(ISERROR(SEARCH("C",K8)))</formula>
    </cfRule>
    <cfRule type="containsText" dxfId="735" priority="635" operator="containsText" text="OFF">
      <formula>NOT(ISERROR(SEARCH("OFF",K8)))</formula>
    </cfRule>
    <cfRule type="containsText" dxfId="734" priority="633" operator="containsText" text="MCT">
      <formula>NOT(ISERROR(SEARCH("MCT",K8)))</formula>
    </cfRule>
    <cfRule type="containsText" dxfId="733" priority="632" operator="containsText" text="CT12">
      <formula>NOT(ISERROR(SEARCH("CT12",K8)))</formula>
    </cfRule>
    <cfRule type="containsText" dxfId="732" priority="631" operator="containsText" text="CT16">
      <formula>NOT(ISERROR(SEARCH("CT16",K8)))</formula>
    </cfRule>
    <cfRule type="containsText" dxfId="731" priority="630" operator="containsText" text="F84">
      <formula>NOT(ISERROR(SEARCH("F84",K8)))</formula>
    </cfRule>
    <cfRule type="containsText" dxfId="730" priority="628" operator="containsText" text="TH">
      <formula>NOT(ISERROR(SEARCH("TH",K8)))</formula>
    </cfRule>
    <cfRule type="containsText" dxfId="729" priority="627" operator="containsText" text="F84">
      <formula>NOT(ISERROR(SEARCH("F84",K8)))</formula>
    </cfRule>
  </conditionalFormatting>
  <conditionalFormatting sqref="K8:W8">
    <cfRule type="containsText" dxfId="728" priority="619" operator="containsText" text="TH">
      <formula>NOT(ISERROR(SEARCH("TH",K8)))</formula>
    </cfRule>
    <cfRule type="containsText" dxfId="727" priority="621" operator="containsText" text="WH">
      <formula>NOT(ISERROR(SEARCH("WH",K8)))</formula>
    </cfRule>
  </conditionalFormatting>
  <conditionalFormatting sqref="L7">
    <cfRule type="containsText" dxfId="726" priority="472" operator="containsText" text="PSR">
      <formula>NOT(ISERROR(SEARCH("PSR",L7)))</formula>
    </cfRule>
    <cfRule type="containsText" dxfId="725" priority="471" operator="containsText" text="PSr">
      <formula>NOT(ISERROR(SEARCH("PSr",L7)))</formula>
    </cfRule>
    <cfRule type="containsText" dxfId="724" priority="470" operator="containsText" text="OFF">
      <formula>NOT(ISERROR(SEARCH("OFF",L7)))</formula>
    </cfRule>
    <cfRule type="containsText" dxfId="723" priority="469" operator="containsText" text="N">
      <formula>NOT(ISERROR(SEARCH("N",L7)))</formula>
    </cfRule>
    <cfRule type="containsText" dxfId="722" priority="468" operator="containsText" text="OFF">
      <formula>NOT(ISERROR(SEARCH("OFF",L7)))</formula>
    </cfRule>
    <cfRule type="containsText" dxfId="721" priority="467" operator="containsText" text="N">
      <formula>NOT(ISERROR(SEARCH("N",L7)))</formula>
    </cfRule>
    <cfRule type="containsText" dxfId="720" priority="473" operator="containsText" text="PSR">
      <formula>NOT(ISERROR(SEARCH("PSR",L7)))</formula>
    </cfRule>
    <cfRule type="containsText" dxfId="719" priority="495" operator="containsText" text="N">
      <formula>NOT(ISERROR(SEARCH("N",L7)))</formula>
    </cfRule>
    <cfRule type="cellIs" dxfId="718" priority="494" operator="equal">
      <formula>"C"</formula>
    </cfRule>
    <cfRule type="containsText" dxfId="717" priority="496" operator="containsText" text="OFF">
      <formula>NOT(ISERROR(SEARCH("OFF",L7)))</formula>
    </cfRule>
    <cfRule type="containsText" dxfId="716" priority="490" operator="containsText" text="OFF">
      <formula>NOT(ISERROR(SEARCH("OFF",L7)))</formula>
    </cfRule>
    <cfRule type="containsText" dxfId="715" priority="475" operator="containsText" text="OFF">
      <formula>NOT(ISERROR(SEARCH("OFF",L7)))</formula>
    </cfRule>
    <cfRule type="containsText" dxfId="714" priority="485" operator="containsText" text="OFF">
      <formula>NOT(ISERROR(SEARCH("OFF",L7)))</formula>
    </cfRule>
    <cfRule type="containsText" dxfId="713" priority="474" operator="containsText" text="N">
      <formula>NOT(ISERROR(SEARCH("N",L7)))</formula>
    </cfRule>
    <cfRule type="containsText" dxfId="712" priority="489" operator="containsText" text="N">
      <formula>NOT(ISERROR(SEARCH("N",L7)))</formula>
    </cfRule>
    <cfRule type="containsText" dxfId="711" priority="488" operator="containsText" text="OFF">
      <formula>NOT(ISERROR(SEARCH("OFF",L7)))</formula>
    </cfRule>
    <cfRule type="containsText" dxfId="710" priority="487" operator="containsText" text="N">
      <formula>NOT(ISERROR(SEARCH("N",L7)))</formula>
    </cfRule>
    <cfRule type="cellIs" dxfId="709" priority="486" operator="equal">
      <formula>"C"</formula>
    </cfRule>
    <cfRule type="containsText" dxfId="708" priority="484" operator="containsText" text="N">
      <formula>NOT(ISERROR(SEARCH("N",L7)))</formula>
    </cfRule>
    <cfRule type="containsText" dxfId="707" priority="483" operator="containsText" text="OFF">
      <formula>NOT(ISERROR(SEARCH("OFF",L7)))</formula>
    </cfRule>
    <cfRule type="containsText" dxfId="706" priority="482" operator="containsText" text="N">
      <formula>NOT(ISERROR(SEARCH("N",L7)))</formula>
    </cfRule>
    <cfRule type="containsText" dxfId="705" priority="481" operator="containsText" text="PSR">
      <formula>NOT(ISERROR(SEARCH("PSR",L7)))</formula>
    </cfRule>
    <cfRule type="containsText" dxfId="704" priority="480" operator="containsText" text="PSR">
      <formula>NOT(ISERROR(SEARCH("PSR",L7)))</formula>
    </cfRule>
    <cfRule type="containsText" dxfId="703" priority="479" operator="containsText" text="PSr">
      <formula>NOT(ISERROR(SEARCH("PSr",L7)))</formula>
    </cfRule>
    <cfRule type="cellIs" dxfId="702" priority="478" operator="equal">
      <formula>"C"</formula>
    </cfRule>
    <cfRule type="containsText" dxfId="701" priority="477" operator="containsText" text="OFF">
      <formula>NOT(ISERROR(SEARCH("OFF",L7)))</formula>
    </cfRule>
    <cfRule type="containsText" dxfId="700" priority="476" operator="containsText" text="N">
      <formula>NOT(ISERROR(SEARCH("N",L7)))</formula>
    </cfRule>
  </conditionalFormatting>
  <conditionalFormatting sqref="N6">
    <cfRule type="containsText" dxfId="699" priority="14" operator="containsText" text="WH">
      <formula>NOT(ISERROR(SEARCH("WH",N6)))</formula>
    </cfRule>
    <cfRule type="containsText" dxfId="698" priority="24" operator="containsText" text="OFF">
      <formula>NOT(ISERROR(SEARCH("OFF",N6)))</formula>
    </cfRule>
    <cfRule type="containsText" dxfId="697" priority="23" operator="containsText" text="OFF">
      <formula>NOT(ISERROR(SEARCH("OFF",N6)))</formula>
    </cfRule>
    <cfRule type="containsText" dxfId="696" priority="21" operator="containsText" text="MCT">
      <formula>NOT(ISERROR(SEARCH("MCT",N6)))</formula>
    </cfRule>
    <cfRule type="containsText" dxfId="695" priority="20" operator="containsText" text="CT12">
      <formula>NOT(ISERROR(SEARCH("CT12",N6)))</formula>
    </cfRule>
    <cfRule type="containsText" dxfId="694" priority="19" operator="containsText" text="CT16">
      <formula>NOT(ISERROR(SEARCH("CT16",N6)))</formula>
    </cfRule>
    <cfRule type="containsText" dxfId="693" priority="15" operator="containsText" text="F84">
      <formula>NOT(ISERROR(SEARCH("F84",N6)))</formula>
    </cfRule>
    <cfRule type="containsText" dxfId="692" priority="22" operator="containsText" text="C">
      <formula>NOT(ISERROR(SEARCH("C",N6)))</formula>
    </cfRule>
    <cfRule type="containsText" dxfId="691" priority="13" operator="containsText" text="TH">
      <formula>NOT(ISERROR(SEARCH("TH",N6)))</formula>
    </cfRule>
  </conditionalFormatting>
  <conditionalFormatting sqref="P5:AB5">
    <cfRule type="containsText" dxfId="690" priority="831" operator="containsText" text="CT16">
      <formula>NOT(ISERROR(SEARCH("CT16",P5)))</formula>
    </cfRule>
    <cfRule type="containsText" dxfId="689" priority="832" operator="containsText" text="CT12">
      <formula>NOT(ISERROR(SEARCH("CT12",P5)))</formula>
    </cfRule>
    <cfRule type="containsText" dxfId="688" priority="833" operator="containsText" text="MCT">
      <formula>NOT(ISERROR(SEARCH("MCT",P5)))</formula>
    </cfRule>
    <cfRule type="containsText" dxfId="687" priority="834" operator="containsText" text="C">
      <formula>NOT(ISERROR(SEARCH("C",P5)))</formula>
    </cfRule>
    <cfRule type="containsText" dxfId="686" priority="835" operator="containsText" text="OFF">
      <formula>NOT(ISERROR(SEARCH("OFF",P5)))</formula>
    </cfRule>
  </conditionalFormatting>
  <conditionalFormatting sqref="P5:AF5">
    <cfRule type="containsText" dxfId="685" priority="802" operator="containsText" text="TH">
      <formula>NOT(ISERROR(SEARCH("TH",P5)))</formula>
    </cfRule>
    <cfRule type="containsText" dxfId="684" priority="803" operator="containsText" text="WH">
      <formula>NOT(ISERROR(SEARCH("WH",P5)))</formula>
    </cfRule>
    <cfRule type="containsText" dxfId="683" priority="804" operator="containsText" text="F84">
      <formula>NOT(ISERROR(SEARCH("F84",P5)))</formula>
    </cfRule>
  </conditionalFormatting>
  <conditionalFormatting sqref="S7:T7">
    <cfRule type="containsText" dxfId="682" priority="294" operator="containsText" text="N">
      <formula>NOT(ISERROR(SEARCH("N",S7)))</formula>
    </cfRule>
    <cfRule type="containsText" dxfId="681" priority="295" operator="containsText" text="OFF">
      <formula>NOT(ISERROR(SEARCH("OFF",S7)))</formula>
    </cfRule>
    <cfRule type="containsText" dxfId="680" priority="296" operator="containsText" text="N">
      <formula>NOT(ISERROR(SEARCH("N",S7)))</formula>
    </cfRule>
    <cfRule type="containsText" dxfId="679" priority="297" operator="containsText" text="OFF">
      <formula>NOT(ISERROR(SEARCH("OFF",S7)))</formula>
    </cfRule>
    <cfRule type="containsText" dxfId="678" priority="298" operator="containsText" text="N">
      <formula>NOT(ISERROR(SEARCH("N",S7)))</formula>
    </cfRule>
    <cfRule type="containsText" dxfId="677" priority="299" operator="containsText" text="OFF">
      <formula>NOT(ISERROR(SEARCH("OFF",S7)))</formula>
    </cfRule>
    <cfRule type="containsText" dxfId="676" priority="289" operator="containsText" text="N">
      <formula>NOT(ISERROR(SEARCH("N",S7)))</formula>
    </cfRule>
    <cfRule type="containsText" dxfId="675" priority="290" operator="containsText" text="OFF">
      <formula>NOT(ISERROR(SEARCH("OFF",S7)))</formula>
    </cfRule>
    <cfRule type="cellIs" dxfId="674" priority="291" operator="equal">
      <formula>"C"</formula>
    </cfRule>
    <cfRule type="containsText" dxfId="673" priority="292" operator="containsText" text="N">
      <formula>NOT(ISERROR(SEARCH("N",S7)))</formula>
    </cfRule>
    <cfRule type="containsText" dxfId="672" priority="293" operator="containsText" text="OFF">
      <formula>NOT(ISERROR(SEARCH("OFF",S7)))</formula>
    </cfRule>
  </conditionalFormatting>
  <conditionalFormatting sqref="S7:U7">
    <cfRule type="containsText" dxfId="671" priority="287" operator="containsText" text="N">
      <formula>NOT(ISERROR(SEARCH("N",S7)))</formula>
    </cfRule>
    <cfRule type="containsText" dxfId="670" priority="288" operator="containsText" text="OFF">
      <formula>NOT(ISERROR(SEARCH("OFF",S7)))</formula>
    </cfRule>
  </conditionalFormatting>
  <conditionalFormatting sqref="S7:W7 Y7">
    <cfRule type="containsText" dxfId="669" priority="327" operator="containsText" text="OFF">
      <formula>NOT(ISERROR(SEARCH("OFF",S7)))</formula>
    </cfRule>
    <cfRule type="containsText" dxfId="668" priority="328" operator="containsText" text="N">
      <formula>NOT(ISERROR(SEARCH("N",S7)))</formula>
    </cfRule>
    <cfRule type="containsText" dxfId="667" priority="329" operator="containsText" text="OFF">
      <formula>NOT(ISERROR(SEARCH("OFF",S7)))</formula>
    </cfRule>
    <cfRule type="containsText" dxfId="666" priority="330" operator="containsText" text="N">
      <formula>NOT(ISERROR(SEARCH("N",S7)))</formula>
    </cfRule>
    <cfRule type="containsText" dxfId="665" priority="331" operator="containsText" text="OFF">
      <formula>NOT(ISERROR(SEARCH("OFF",S7)))</formula>
    </cfRule>
    <cfRule type="containsText" dxfId="664" priority="318" operator="containsText" text="PSR">
      <formula>NOT(ISERROR(SEARCH("PSR",S7)))</formula>
    </cfRule>
    <cfRule type="containsText" dxfId="663" priority="262" operator="containsText" text="PSr">
      <formula>NOT(ISERROR(SEARCH("PSr",S7)))</formula>
    </cfRule>
    <cfRule type="containsText" dxfId="662" priority="263" operator="containsText" text="PSR">
      <formula>NOT(ISERROR(SEARCH("PSR",S7)))</formula>
    </cfRule>
    <cfRule type="containsText" dxfId="661" priority="264" operator="containsText" text="PSR">
      <formula>NOT(ISERROR(SEARCH("PSR",S7)))</formula>
    </cfRule>
    <cfRule type="containsText" dxfId="660" priority="308" operator="containsText" text="PSr">
      <formula>NOT(ISERROR(SEARCH("PSr",S7)))</formula>
    </cfRule>
    <cfRule type="containsText" dxfId="659" priority="309" operator="containsText" text="PSR">
      <formula>NOT(ISERROR(SEARCH("PSR",S7)))</formula>
    </cfRule>
    <cfRule type="containsText" dxfId="658" priority="310" operator="containsText" text="PSR">
      <formula>NOT(ISERROR(SEARCH("PSR",S7)))</formula>
    </cfRule>
    <cfRule type="containsText" dxfId="657" priority="311" operator="containsText" text="N">
      <formula>NOT(ISERROR(SEARCH("N",S7)))</formula>
    </cfRule>
    <cfRule type="containsText" dxfId="656" priority="312" operator="containsText" text="OFF">
      <formula>NOT(ISERROR(SEARCH("OFF",S7)))</formula>
    </cfRule>
    <cfRule type="containsText" dxfId="655" priority="313" operator="containsText" text="N">
      <formula>NOT(ISERROR(SEARCH("N",S7)))</formula>
    </cfRule>
    <cfRule type="containsText" dxfId="654" priority="314" operator="containsText" text="OFF">
      <formula>NOT(ISERROR(SEARCH("OFF",S7)))</formula>
    </cfRule>
    <cfRule type="cellIs" dxfId="653" priority="315" operator="equal">
      <formula>"C"</formula>
    </cfRule>
    <cfRule type="containsText" dxfId="652" priority="316" operator="containsText" text="PSr">
      <formula>NOT(ISERROR(SEARCH("PSr",S7)))</formula>
    </cfRule>
    <cfRule type="containsText" dxfId="651" priority="317" operator="containsText" text="PSR">
      <formula>NOT(ISERROR(SEARCH("PSR",S7)))</formula>
    </cfRule>
    <cfRule type="cellIs" dxfId="650" priority="319" operator="equal">
      <formula>"C"</formula>
    </cfRule>
    <cfRule type="containsText" dxfId="649" priority="320" operator="containsText" text="N">
      <formula>NOT(ISERROR(SEARCH("N",S7)))</formula>
    </cfRule>
    <cfRule type="containsText" dxfId="648" priority="321" operator="containsText" text="OFF">
      <formula>NOT(ISERROR(SEARCH("OFF",S7)))</formula>
    </cfRule>
    <cfRule type="containsText" dxfId="647" priority="322" operator="containsText" text="N">
      <formula>NOT(ISERROR(SEARCH("N",S7)))</formula>
    </cfRule>
    <cfRule type="containsText" dxfId="646" priority="323" operator="containsText" text="OFF">
      <formula>NOT(ISERROR(SEARCH("OFF",S7)))</formula>
    </cfRule>
    <cfRule type="containsText" dxfId="645" priority="324" operator="containsText" text="N">
      <formula>NOT(ISERROR(SEARCH("N",S7)))</formula>
    </cfRule>
    <cfRule type="containsText" dxfId="644" priority="325" operator="containsText" text="OFF">
      <formula>NOT(ISERROR(SEARCH("OFF",S7)))</formula>
    </cfRule>
    <cfRule type="containsText" dxfId="643" priority="326" operator="containsText" text="N">
      <formula>NOT(ISERROR(SEARCH("N",S7)))</formula>
    </cfRule>
  </conditionalFormatting>
  <conditionalFormatting sqref="T8:W8">
    <cfRule type="containsText" dxfId="642" priority="615" operator="containsText" text="WH">
      <formula>NOT(ISERROR(SEARCH("WH",T8)))</formula>
    </cfRule>
    <cfRule type="containsText" dxfId="641" priority="626" operator="containsText" text="OFF">
      <formula>NOT(ISERROR(SEARCH("OFF",T8)))</formula>
    </cfRule>
    <cfRule type="containsText" dxfId="640" priority="616" operator="containsText" text="TH">
      <formula>NOT(ISERROR(SEARCH("TH",T8)))</formula>
    </cfRule>
    <cfRule type="containsText" dxfId="639" priority="611" operator="containsText" text="F84">
      <formula>NOT(ISERROR(SEARCH("F84",T8)))</formula>
    </cfRule>
    <cfRule type="containsText" dxfId="638" priority="612" operator="containsText" text="WH">
      <formula>NOT(ISERROR(SEARCH("WH",T8)))</formula>
    </cfRule>
    <cfRule type="containsText" dxfId="637" priority="613" operator="containsText" text="TH">
      <formula>NOT(ISERROR(SEARCH("TH",T8)))</formula>
    </cfRule>
    <cfRule type="containsText" dxfId="636" priority="607" operator="containsText" text="TH">
      <formula>NOT(ISERROR(SEARCH("TH",T8)))</formula>
    </cfRule>
    <cfRule type="containsText" dxfId="635" priority="608" operator="containsText" text="F84">
      <formula>NOT(ISERROR(SEARCH("F84",T8)))</formula>
    </cfRule>
    <cfRule type="containsText" dxfId="634" priority="609" operator="containsText" text="WH">
      <formula>NOT(ISERROR(SEARCH("WH",T8)))</formula>
    </cfRule>
    <cfRule type="containsText" dxfId="633" priority="610" operator="containsText" text="TH">
      <formula>NOT(ISERROR(SEARCH("TH",T8)))</formula>
    </cfRule>
    <cfRule type="containsText" dxfId="632" priority="622" operator="containsText" text="CT16">
      <formula>NOT(ISERROR(SEARCH("CT16",T8)))</formula>
    </cfRule>
    <cfRule type="containsText" dxfId="631" priority="604" operator="containsText" text="TH">
      <formula>NOT(ISERROR(SEARCH("TH",T8)))</formula>
    </cfRule>
    <cfRule type="containsText" dxfId="630" priority="614" operator="containsText" text="F84">
      <formula>NOT(ISERROR(SEARCH("F84",T8)))</formula>
    </cfRule>
    <cfRule type="containsText" dxfId="629" priority="605" operator="containsText" text="WH">
      <formula>NOT(ISERROR(SEARCH("WH",T8)))</formula>
    </cfRule>
    <cfRule type="containsText" dxfId="628" priority="606" operator="containsText" text="F84">
      <formula>NOT(ISERROR(SEARCH("F84",T8)))</formula>
    </cfRule>
    <cfRule type="containsText" dxfId="627" priority="617" operator="containsText" text="F84">
      <formula>NOT(ISERROR(SEARCH("F84",T8)))</formula>
    </cfRule>
    <cfRule type="containsText" dxfId="626" priority="618" operator="containsText" text="WH">
      <formula>NOT(ISERROR(SEARCH("WH",T8)))</formula>
    </cfRule>
    <cfRule type="containsText" dxfId="625" priority="620" operator="containsText" text="F84">
      <formula>NOT(ISERROR(SEARCH("F84",T8)))</formula>
    </cfRule>
    <cfRule type="containsText" dxfId="624" priority="623" operator="containsText" text="CT12">
      <formula>NOT(ISERROR(SEARCH("CT12",T8)))</formula>
    </cfRule>
    <cfRule type="containsText" dxfId="623" priority="624" operator="containsText" text="MCT">
      <formula>NOT(ISERROR(SEARCH("MCT",T8)))</formula>
    </cfRule>
    <cfRule type="containsText" dxfId="622" priority="625" operator="containsText" text="C">
      <formula>NOT(ISERROR(SEARCH("C",T8)))</formula>
    </cfRule>
  </conditionalFormatting>
  <conditionalFormatting sqref="U7">
    <cfRule type="containsText" dxfId="621" priority="279" operator="containsText" text="OFF">
      <formula>NOT(ISERROR(SEARCH("OFF",U7)))</formula>
    </cfRule>
    <cfRule type="containsText" dxfId="620" priority="286" operator="containsText" text="OFF">
      <formula>NOT(ISERROR(SEARCH("OFF",U7)))</formula>
    </cfRule>
    <cfRule type="containsText" dxfId="619" priority="285" operator="containsText" text="N">
      <formula>NOT(ISERROR(SEARCH("N",U7)))</formula>
    </cfRule>
    <cfRule type="containsText" dxfId="618" priority="284" operator="containsText" text="OFF">
      <formula>NOT(ISERROR(SEARCH("OFF",U7)))</formula>
    </cfRule>
    <cfRule type="containsText" dxfId="617" priority="283" operator="containsText" text="N">
      <formula>NOT(ISERROR(SEARCH("N",U7)))</formula>
    </cfRule>
    <cfRule type="containsText" dxfId="616" priority="282" operator="containsText" text="OFF">
      <formula>NOT(ISERROR(SEARCH("OFF",U7)))</formula>
    </cfRule>
    <cfRule type="containsText" dxfId="615" priority="281" operator="containsText" text="N">
      <formula>NOT(ISERROR(SEARCH("N",U7)))</formula>
    </cfRule>
    <cfRule type="cellIs" dxfId="614" priority="280" operator="equal">
      <formula>"C"</formula>
    </cfRule>
    <cfRule type="containsText" dxfId="613" priority="278" operator="containsText" text="N">
      <formula>NOT(ISERROR(SEARCH("N",U7)))</formula>
    </cfRule>
  </conditionalFormatting>
  <conditionalFormatting sqref="U7:W7 Y7">
    <cfRule type="containsText" dxfId="612" priority="277" operator="containsText" text="OFF">
      <formula>NOT(ISERROR(SEARCH("OFF",U7)))</formula>
    </cfRule>
    <cfRule type="containsText" dxfId="611" priority="276" operator="containsText" text="N">
      <formula>NOT(ISERROR(SEARCH("N",U7)))</formula>
    </cfRule>
  </conditionalFormatting>
  <conditionalFormatting sqref="V7">
    <cfRule type="containsText" dxfId="610" priority="426" operator="containsText" text="N">
      <formula>NOT(ISERROR(SEARCH("N",V7)))</formula>
    </cfRule>
    <cfRule type="containsText" dxfId="609" priority="427" operator="containsText" text="OFF">
      <formula>NOT(ISERROR(SEARCH("OFF",V7)))</formula>
    </cfRule>
    <cfRule type="cellIs" dxfId="608" priority="428" operator="equal">
      <formula>"C"</formula>
    </cfRule>
    <cfRule type="containsText" dxfId="607" priority="429" operator="containsText" text="N">
      <formula>NOT(ISERROR(SEARCH("N",V7)))</formula>
    </cfRule>
    <cfRule type="containsText" dxfId="606" priority="431" operator="containsText" text="N">
      <formula>NOT(ISERROR(SEARCH("N",V7)))</formula>
    </cfRule>
    <cfRule type="containsText" dxfId="605" priority="432" operator="containsText" text="OFF">
      <formula>NOT(ISERROR(SEARCH("OFF",V7)))</formula>
    </cfRule>
    <cfRule type="containsText" dxfId="604" priority="433" operator="containsText" text="N">
      <formula>NOT(ISERROR(SEARCH("N",V7)))</formula>
    </cfRule>
    <cfRule type="containsText" dxfId="603" priority="434" operator="containsText" text="OFF">
      <formula>NOT(ISERROR(SEARCH("OFF",V7)))</formula>
    </cfRule>
    <cfRule type="containsText" dxfId="602" priority="435" operator="containsText" text="N">
      <formula>NOT(ISERROR(SEARCH("N",V7)))</formula>
    </cfRule>
    <cfRule type="containsText" dxfId="601" priority="436" operator="containsText" text="OFF">
      <formula>NOT(ISERROR(SEARCH("OFF",V7)))</formula>
    </cfRule>
    <cfRule type="containsText" dxfId="600" priority="430" operator="containsText" text="OFF">
      <formula>NOT(ISERROR(SEARCH("OFF",V7)))</formula>
    </cfRule>
  </conditionalFormatting>
  <conditionalFormatting sqref="V7:W7 Y7">
    <cfRule type="containsText" dxfId="599" priority="271" operator="containsText" text="OFF">
      <formula>NOT(ISERROR(SEARCH("OFF",V7)))</formula>
    </cfRule>
    <cfRule type="cellIs" dxfId="598" priority="269" operator="equal">
      <formula>"C"</formula>
    </cfRule>
    <cfRule type="containsText" dxfId="597" priority="270" operator="containsText" text="N">
      <formula>NOT(ISERROR(SEARCH("N",V7)))</formula>
    </cfRule>
    <cfRule type="containsText" dxfId="596" priority="275" operator="containsText" text="OFF">
      <formula>NOT(ISERROR(SEARCH("OFF",V7)))</formula>
    </cfRule>
    <cfRule type="containsText" dxfId="595" priority="398" operator="containsText" text="PSR">
      <formula>NOT(ISERROR(SEARCH("PSR",V7)))</formula>
    </cfRule>
    <cfRule type="containsText" dxfId="594" priority="397" operator="containsText" text="PSr">
      <formula>NOT(ISERROR(SEARCH("PSr",V7)))</formula>
    </cfRule>
    <cfRule type="containsText" dxfId="593" priority="273" operator="containsText" text="OFF">
      <formula>NOT(ISERROR(SEARCH("OFF",V7)))</formula>
    </cfRule>
    <cfRule type="containsText" dxfId="592" priority="267" operator="containsText" text="N">
      <formula>NOT(ISERROR(SEARCH("N",V7)))</formula>
    </cfRule>
    <cfRule type="containsText" dxfId="591" priority="274" operator="containsText" text="N">
      <formula>NOT(ISERROR(SEARCH("N",V7)))</formula>
    </cfRule>
    <cfRule type="containsText" dxfId="590" priority="266" operator="containsText" text="OFF">
      <formula>NOT(ISERROR(SEARCH("OFF",V7)))</formula>
    </cfRule>
    <cfRule type="containsText" dxfId="589" priority="265" operator="containsText" text="N">
      <formula>NOT(ISERROR(SEARCH("N",V7)))</formula>
    </cfRule>
    <cfRule type="containsText" dxfId="588" priority="399" operator="containsText" text="PSR">
      <formula>NOT(ISERROR(SEARCH("PSR",V7)))</formula>
    </cfRule>
    <cfRule type="containsText" dxfId="587" priority="268" operator="containsText" text="OFF">
      <formula>NOT(ISERROR(SEARCH("OFF",V7)))</formula>
    </cfRule>
    <cfRule type="containsText" dxfId="586" priority="272" operator="containsText" text="N">
      <formula>NOT(ISERROR(SEARCH("N",V7)))</formula>
    </cfRule>
  </conditionalFormatting>
  <conditionalFormatting sqref="V7:W7">
    <cfRule type="containsText" dxfId="585" priority="425" operator="containsText" text="OFF">
      <formula>NOT(ISERROR(SEARCH("OFF",V7)))</formula>
    </cfRule>
    <cfRule type="containsText" dxfId="584" priority="424" operator="containsText" text="N">
      <formula>NOT(ISERROR(SEARCH("N",V7)))</formula>
    </cfRule>
  </conditionalFormatting>
  <conditionalFormatting sqref="W7 Y7">
    <cfRule type="containsText" dxfId="583" priority="258" operator="containsText" text="N">
      <formula>NOT(ISERROR(SEARCH("N",W7)))</formula>
    </cfRule>
    <cfRule type="containsText" dxfId="582" priority="257" operator="containsText" text="OFF">
      <formula>NOT(ISERROR(SEARCH("OFF",W7)))</formula>
    </cfRule>
    <cfRule type="containsText" dxfId="581" priority="256" operator="containsText" text="N">
      <formula>NOT(ISERROR(SEARCH("N",W7)))</formula>
    </cfRule>
    <cfRule type="containsText" dxfId="580" priority="255" operator="containsText" text="OFF">
      <formula>NOT(ISERROR(SEARCH("OFF",W7)))</formula>
    </cfRule>
    <cfRule type="containsText" dxfId="579" priority="254" operator="containsText" text="N">
      <formula>NOT(ISERROR(SEARCH("N",W7)))</formula>
    </cfRule>
    <cfRule type="cellIs" dxfId="578" priority="253" operator="equal">
      <formula>"C"</formula>
    </cfRule>
    <cfRule type="containsText" dxfId="577" priority="252" operator="containsText" text="OFF">
      <formula>NOT(ISERROR(SEARCH("OFF",W7)))</formula>
    </cfRule>
    <cfRule type="containsText" dxfId="576" priority="251" operator="containsText" text="N">
      <formula>NOT(ISERROR(SEARCH("N",W7)))</formula>
    </cfRule>
    <cfRule type="containsText" dxfId="575" priority="250" operator="containsText" text="OFF">
      <formula>NOT(ISERROR(SEARCH("OFF",W7)))</formula>
    </cfRule>
    <cfRule type="containsText" dxfId="574" priority="249" operator="containsText" text="N">
      <formula>NOT(ISERROR(SEARCH("N",W7)))</formula>
    </cfRule>
    <cfRule type="containsText" dxfId="573" priority="248" operator="containsText" text="PSR">
      <formula>NOT(ISERROR(SEARCH("PSR",W7)))</formula>
    </cfRule>
    <cfRule type="containsText" dxfId="572" priority="301" operator="containsText" text="PSR">
      <formula>NOT(ISERROR(SEARCH("PSR",W7)))</formula>
    </cfRule>
    <cfRule type="cellIs" dxfId="571" priority="303" operator="equal">
      <formula>"C"</formula>
    </cfRule>
    <cfRule type="containsText" dxfId="570" priority="304" operator="containsText" text="N">
      <formula>NOT(ISERROR(SEARCH("N",W7)))</formula>
    </cfRule>
    <cfRule type="containsText" dxfId="569" priority="305" operator="containsText" text="OFF">
      <formula>NOT(ISERROR(SEARCH("OFF",W7)))</formula>
    </cfRule>
    <cfRule type="containsText" dxfId="568" priority="306" operator="containsText" text="N">
      <formula>NOT(ISERROR(SEARCH("N",W7)))</formula>
    </cfRule>
    <cfRule type="containsText" dxfId="567" priority="307" operator="containsText" text="OFF">
      <formula>NOT(ISERROR(SEARCH("OFF",W7)))</formula>
    </cfRule>
    <cfRule type="containsText" dxfId="566" priority="300" operator="containsText" text="PSr">
      <formula>NOT(ISERROR(SEARCH("PSr",W7)))</formula>
    </cfRule>
    <cfRule type="containsText" dxfId="565" priority="246" operator="containsText" text="PSr">
      <formula>NOT(ISERROR(SEARCH("PSr",W7)))</formula>
    </cfRule>
    <cfRule type="containsText" dxfId="564" priority="247" operator="containsText" text="PSR">
      <formula>NOT(ISERROR(SEARCH("PSR",W7)))</formula>
    </cfRule>
    <cfRule type="containsText" dxfId="563" priority="302" operator="containsText" text="PSR">
      <formula>NOT(ISERROR(SEARCH("PSR",W7)))</formula>
    </cfRule>
    <cfRule type="containsText" dxfId="562" priority="261" operator="containsText" text="OFF">
      <formula>NOT(ISERROR(SEARCH("OFF",W7)))</formula>
    </cfRule>
    <cfRule type="containsText" dxfId="561" priority="260" operator="containsText" text="N">
      <formula>NOT(ISERROR(SEARCH("N",W7)))</formula>
    </cfRule>
    <cfRule type="containsText" dxfId="560" priority="259" operator="containsText" text="OFF">
      <formula>NOT(ISERROR(SEARCH("OFF",W7)))</formula>
    </cfRule>
  </conditionalFormatting>
  <conditionalFormatting sqref="W7">
    <cfRule type="containsText" dxfId="559" priority="422" operator="containsText" text="N">
      <formula>NOT(ISERROR(SEARCH("N",W7)))</formula>
    </cfRule>
    <cfRule type="containsText" dxfId="558" priority="421" operator="containsText" text="OFF">
      <formula>NOT(ISERROR(SEARCH("OFF",W7)))</formula>
    </cfRule>
    <cfRule type="containsText" dxfId="557" priority="420" operator="containsText" text="N">
      <formula>NOT(ISERROR(SEARCH("N",W7)))</formula>
    </cfRule>
    <cfRule type="containsText" dxfId="556" priority="413" operator="containsText" text="N">
      <formula>NOT(ISERROR(SEARCH("N",W7)))</formula>
    </cfRule>
    <cfRule type="containsText" dxfId="555" priority="419" operator="containsText" text="OFF">
      <formula>NOT(ISERROR(SEARCH("OFF",W7)))</formula>
    </cfRule>
    <cfRule type="containsText" dxfId="554" priority="418" operator="containsText" text="N">
      <formula>NOT(ISERROR(SEARCH("N",W7)))</formula>
    </cfRule>
    <cfRule type="cellIs" dxfId="553" priority="417" operator="equal">
      <formula>"C"</formula>
    </cfRule>
    <cfRule type="containsText" dxfId="552" priority="416" operator="containsText" text="OFF">
      <formula>NOT(ISERROR(SEARCH("OFF",W7)))</formula>
    </cfRule>
    <cfRule type="containsText" dxfId="551" priority="423" operator="containsText" text="OFF">
      <formula>NOT(ISERROR(SEARCH("OFF",W7)))</formula>
    </cfRule>
    <cfRule type="containsText" dxfId="550" priority="415" operator="containsText" text="N">
      <formula>NOT(ISERROR(SEARCH("N",W7)))</formula>
    </cfRule>
    <cfRule type="containsText" dxfId="549" priority="414" operator="containsText" text="OFF">
      <formula>NOT(ISERROR(SEARCH("OFF",W7)))</formula>
    </cfRule>
  </conditionalFormatting>
  <conditionalFormatting sqref="X8:AL8">
    <cfRule type="containsText" dxfId="548" priority="595" operator="containsText" text="OFF">
      <formula>NOT(ISERROR(SEARCH("OFF",X8)))</formula>
    </cfRule>
  </conditionalFormatting>
  <conditionalFormatting sqref="Y7">
    <cfRule type="containsText" dxfId="547" priority="401" operator="containsText" text="OFF">
      <formula>NOT(ISERROR(SEARCH("OFF",Y7)))</formula>
    </cfRule>
    <cfRule type="containsText" dxfId="546" priority="402" operator="containsText" text="N">
      <formula>NOT(ISERROR(SEARCH("N",Y7)))</formula>
    </cfRule>
    <cfRule type="containsText" dxfId="545" priority="400" operator="containsText" text="N">
      <formula>NOT(ISERROR(SEARCH("N",Y7)))</formula>
    </cfRule>
    <cfRule type="containsText" dxfId="544" priority="403" operator="containsText" text="OFF">
      <formula>NOT(ISERROR(SEARCH("OFF",Y7)))</formula>
    </cfRule>
    <cfRule type="cellIs" dxfId="543" priority="404" operator="equal">
      <formula>"C"</formula>
    </cfRule>
    <cfRule type="containsText" dxfId="542" priority="405" operator="containsText" text="N">
      <formula>NOT(ISERROR(SEARCH("N",Y7)))</formula>
    </cfRule>
    <cfRule type="containsText" dxfId="541" priority="406" operator="containsText" text="OFF">
      <formula>NOT(ISERROR(SEARCH("OFF",Y7)))</formula>
    </cfRule>
    <cfRule type="containsText" dxfId="540" priority="407" operator="containsText" text="N">
      <formula>NOT(ISERROR(SEARCH("N",Y7)))</formula>
    </cfRule>
    <cfRule type="containsText" dxfId="539" priority="408" operator="containsText" text="OFF">
      <formula>NOT(ISERROR(SEARCH("OFF",Y7)))</formula>
    </cfRule>
    <cfRule type="containsText" dxfId="538" priority="409" operator="containsText" text="N">
      <formula>NOT(ISERROR(SEARCH("N",Y7)))</formula>
    </cfRule>
    <cfRule type="containsText" dxfId="537" priority="410" operator="containsText" text="OFF">
      <formula>NOT(ISERROR(SEARCH("OFF",Y7)))</formula>
    </cfRule>
  </conditionalFormatting>
  <conditionalFormatting sqref="Y7:Z7">
    <cfRule type="containsText" dxfId="536" priority="411" operator="containsText" text="N">
      <formula>NOT(ISERROR(SEARCH("N",Y7)))</formula>
    </cfRule>
    <cfRule type="containsText" dxfId="535" priority="412" operator="containsText" text="OFF">
      <formula>NOT(ISERROR(SEARCH("OFF",Y7)))</formula>
    </cfRule>
  </conditionalFormatting>
  <conditionalFormatting sqref="Y6:AL6">
    <cfRule type="containsText" dxfId="534" priority="6" operator="containsText" text="F84">
      <formula>NOT(ISERROR(SEARCH("F84",Y6)))</formula>
    </cfRule>
    <cfRule type="containsText" dxfId="533" priority="5" operator="containsText" text="WH">
      <formula>NOT(ISERROR(SEARCH("WH",Y6)))</formula>
    </cfRule>
    <cfRule type="containsText" dxfId="532" priority="4" operator="containsText" text="TH">
      <formula>NOT(ISERROR(SEARCH("TH",Y6)))</formula>
    </cfRule>
  </conditionalFormatting>
  <conditionalFormatting sqref="Y8:AL8">
    <cfRule type="containsText" dxfId="531" priority="566" operator="containsText" text="N">
      <formula>NOT(ISERROR(SEARCH("N",Y8)))</formula>
    </cfRule>
    <cfRule type="containsText" dxfId="530" priority="565" operator="containsText" text="OFF">
      <formula>NOT(ISERROR(SEARCH("OFF",Y8)))</formula>
    </cfRule>
    <cfRule type="containsText" dxfId="529" priority="564" operator="containsText" text="N">
      <formula>NOT(ISERROR(SEARCH("N",Y8)))</formula>
    </cfRule>
    <cfRule type="cellIs" dxfId="528" priority="563" operator="equal">
      <formula>"OFF"</formula>
    </cfRule>
    <cfRule type="cellIs" dxfId="527" priority="562" operator="equal">
      <formula>"MCT"</formula>
    </cfRule>
    <cfRule type="containsText" dxfId="526" priority="561" operator="containsText" text="OFF">
      <formula>NOT(ISERROR(SEARCH("OFF",Y8)))</formula>
    </cfRule>
    <cfRule type="containsText" dxfId="525" priority="560" operator="containsText" text="N">
      <formula>NOT(ISERROR(SEARCH("N",Y8)))</formula>
    </cfRule>
    <cfRule type="containsText" dxfId="524" priority="559" operator="containsText" text="OFF">
      <formula>NOT(ISERROR(SEARCH("OFF",Y8)))</formula>
    </cfRule>
    <cfRule type="containsText" dxfId="523" priority="558" operator="containsText" text="N">
      <formula>NOT(ISERROR(SEARCH("N",Y8)))</formula>
    </cfRule>
    <cfRule type="containsText" dxfId="522" priority="557" operator="containsText" text="OFF">
      <formula>NOT(ISERROR(SEARCH("OFF",Y8)))</formula>
    </cfRule>
    <cfRule type="containsText" dxfId="521" priority="556" operator="containsText" text="N">
      <formula>NOT(ISERROR(SEARCH("N",Y8)))</formula>
    </cfRule>
    <cfRule type="containsText" dxfId="520" priority="555" operator="containsText" text="OFF">
      <formula>NOT(ISERROR(SEARCH("OFF",Y8)))</formula>
    </cfRule>
    <cfRule type="containsText" dxfId="519" priority="554" operator="containsText" text="N">
      <formula>NOT(ISERROR(SEARCH("N",Y8)))</formula>
    </cfRule>
    <cfRule type="containsText" dxfId="518" priority="553" operator="containsText" text="OFF">
      <formula>NOT(ISERROR(SEARCH("OFF",Y8)))</formula>
    </cfRule>
    <cfRule type="containsText" dxfId="517" priority="552" operator="containsText" text="C">
      <formula>NOT(ISERROR(SEARCH("C",Y8)))</formula>
    </cfRule>
    <cfRule type="containsText" dxfId="516" priority="551" operator="containsText" text="MCT">
      <formula>NOT(ISERROR(SEARCH("MCT",Y8)))</formula>
    </cfRule>
    <cfRule type="containsText" dxfId="515" priority="550" operator="containsText" text="CT12">
      <formula>NOT(ISERROR(SEARCH("CT12",Y8)))</formula>
    </cfRule>
    <cfRule type="containsText" dxfId="514" priority="549" operator="containsText" text="CT16">
      <formula>NOT(ISERROR(SEARCH("CT16",Y8)))</formula>
    </cfRule>
    <cfRule type="containsText" dxfId="513" priority="580" operator="containsText" text="F84">
      <formula>NOT(ISERROR(SEARCH("F84",Y8)))</formula>
    </cfRule>
    <cfRule type="containsText" dxfId="512" priority="593" operator="containsText" text="OFF">
      <formula>NOT(ISERROR(SEARCH("OFF",Y8)))</formula>
    </cfRule>
    <cfRule type="cellIs" dxfId="511" priority="592" operator="equal">
      <formula>"OFF"</formula>
    </cfRule>
    <cfRule type="cellIs" dxfId="510" priority="591" operator="equal">
      <formula>"MCT"</formula>
    </cfRule>
    <cfRule type="containsText" dxfId="509" priority="590" operator="containsText" text="OFF">
      <formula>NOT(ISERROR(SEARCH("OFF",Y8)))</formula>
    </cfRule>
    <cfRule type="containsText" dxfId="508" priority="589" operator="containsText" text="N">
      <formula>NOT(ISERROR(SEARCH("N",Y8)))</formula>
    </cfRule>
    <cfRule type="containsText" dxfId="507" priority="588" operator="containsText" text="OFF">
      <formula>NOT(ISERROR(SEARCH("OFF",Y8)))</formula>
    </cfRule>
    <cfRule type="containsText" dxfId="506" priority="587" operator="containsText" text="N">
      <formula>NOT(ISERROR(SEARCH("N",Y8)))</formula>
    </cfRule>
    <cfRule type="cellIs" dxfId="505" priority="586" operator="equal">
      <formula>"OFF"</formula>
    </cfRule>
    <cfRule type="cellIs" dxfId="504" priority="585" operator="equal">
      <formula>"MCT"</formula>
    </cfRule>
    <cfRule type="containsText" dxfId="503" priority="584" operator="containsText" text="OFF">
      <formula>NOT(ISERROR(SEARCH("OFF",Y8)))</formula>
    </cfRule>
    <cfRule type="containsText" dxfId="502" priority="583" operator="containsText" text="N">
      <formula>NOT(ISERROR(SEARCH("N",Y8)))</formula>
    </cfRule>
    <cfRule type="containsText" dxfId="501" priority="582" operator="containsText" text="OFF">
      <formula>NOT(ISERROR(SEARCH("OFF",Y8)))</formula>
    </cfRule>
    <cfRule type="containsText" dxfId="500" priority="581" operator="containsText" text="N">
      <formula>NOT(ISERROR(SEARCH("N",Y8)))</formula>
    </cfRule>
    <cfRule type="containsText" dxfId="499" priority="579" operator="containsText" text="WH">
      <formula>NOT(ISERROR(SEARCH("WH",Y8)))</formula>
    </cfRule>
    <cfRule type="containsText" dxfId="498" priority="578" operator="containsText" text="TH">
      <formula>NOT(ISERROR(SEARCH("TH",Y8)))</formula>
    </cfRule>
    <cfRule type="containsText" dxfId="497" priority="603" operator="containsText" text="C">
      <formula>NOT(ISERROR(SEARCH("C",Y8)))</formula>
    </cfRule>
    <cfRule type="containsText" dxfId="496" priority="577" operator="containsText" text="F84">
      <formula>NOT(ISERROR(SEARCH("F84",Y8)))</formula>
    </cfRule>
    <cfRule type="containsText" dxfId="495" priority="576" operator="containsText" text="WH">
      <formula>NOT(ISERROR(SEARCH("WH",Y8)))</formula>
    </cfRule>
    <cfRule type="containsText" dxfId="494" priority="575" operator="containsText" text="TH">
      <formula>NOT(ISERROR(SEARCH("TH",Y8)))</formula>
    </cfRule>
    <cfRule type="containsText" dxfId="493" priority="574" operator="containsText" text="F84">
      <formula>NOT(ISERROR(SEARCH("F84",Y8)))</formula>
    </cfRule>
    <cfRule type="containsText" dxfId="492" priority="573" operator="containsText" text="WH">
      <formula>NOT(ISERROR(SEARCH("WH",Y8)))</formula>
    </cfRule>
    <cfRule type="containsText" dxfId="491" priority="572" operator="containsText" text="TH">
      <formula>NOT(ISERROR(SEARCH("TH",Y8)))</formula>
    </cfRule>
    <cfRule type="containsText" dxfId="490" priority="571" operator="containsText" text="OFF">
      <formula>NOT(ISERROR(SEARCH("OFF",Y8)))</formula>
    </cfRule>
    <cfRule type="containsText" dxfId="489" priority="570" operator="containsText" text="N">
      <formula>NOT(ISERROR(SEARCH("N",Y8)))</formula>
    </cfRule>
    <cfRule type="containsText" dxfId="488" priority="569" operator="containsText" text="OFF">
      <formula>NOT(ISERROR(SEARCH("OFF",Y8)))</formula>
    </cfRule>
    <cfRule type="cellIs" dxfId="487" priority="568" operator="equal">
      <formula>"OFF"</formula>
    </cfRule>
    <cfRule type="cellIs" dxfId="486" priority="602" operator="equal">
      <formula>"OFF"</formula>
    </cfRule>
    <cfRule type="cellIs" dxfId="485" priority="601" operator="equal">
      <formula>"MCT"</formula>
    </cfRule>
    <cfRule type="containsText" dxfId="484" priority="600" operator="containsText" text="OFF">
      <formula>NOT(ISERROR(SEARCH("OFF",Y8)))</formula>
    </cfRule>
    <cfRule type="containsText" dxfId="483" priority="599" operator="containsText" text="MCT">
      <formula>NOT(ISERROR(SEARCH("MCT",Y8)))</formula>
    </cfRule>
    <cfRule type="containsText" dxfId="482" priority="598" operator="containsText" text="CT12">
      <formula>NOT(ISERROR(SEARCH("CT12",Y8)))</formula>
    </cfRule>
    <cfRule type="containsText" dxfId="481" priority="597" operator="containsText" text="CT16">
      <formula>NOT(ISERROR(SEARCH("CT16",Y8)))</formula>
    </cfRule>
    <cfRule type="containsText" dxfId="480" priority="596" operator="containsText" text="N">
      <formula>NOT(ISERROR(SEARCH("N",Y8)))</formula>
    </cfRule>
    <cfRule type="cellIs" dxfId="479" priority="567" operator="equal">
      <formula>"MCT"</formula>
    </cfRule>
    <cfRule type="containsText" dxfId="478" priority="594" operator="containsText" text="N">
      <formula>NOT(ISERROR(SEARCH("N",Y8)))</formula>
    </cfRule>
  </conditionalFormatting>
  <conditionalFormatting sqref="Z7">
    <cfRule type="containsText" dxfId="477" priority="451" operator="containsText" text="OFF">
      <formula>NOT(ISERROR(SEARCH("OFF",Z7)))</formula>
    </cfRule>
    <cfRule type="containsText" dxfId="476" priority="452" operator="containsText" text="N">
      <formula>NOT(ISERROR(SEARCH("N",Z7)))</formula>
    </cfRule>
    <cfRule type="containsText" dxfId="475" priority="443" operator="containsText" text="OFF">
      <formula>NOT(ISERROR(SEARCH("OFF",Z7)))</formula>
    </cfRule>
    <cfRule type="containsText" dxfId="474" priority="466" operator="containsText" text="OFF">
      <formula>NOT(ISERROR(SEARCH("OFF",Z7)))</formula>
    </cfRule>
    <cfRule type="containsText" dxfId="473" priority="465" operator="containsText" text="N">
      <formula>NOT(ISERROR(SEARCH("N",Z7)))</formula>
    </cfRule>
    <cfRule type="containsText" dxfId="472" priority="464" operator="containsText" text="OFF">
      <formula>NOT(ISERROR(SEARCH("OFF",Z7)))</formula>
    </cfRule>
    <cfRule type="containsText" dxfId="471" priority="463" operator="containsText" text="N">
      <formula>NOT(ISERROR(SEARCH("N",Z7)))</formula>
    </cfRule>
    <cfRule type="cellIs" dxfId="470" priority="462" operator="equal">
      <formula>"C"</formula>
    </cfRule>
    <cfRule type="containsText" dxfId="469" priority="461" operator="containsText" text="PSR">
      <formula>NOT(ISERROR(SEARCH("PSR",Z7)))</formula>
    </cfRule>
    <cfRule type="containsText" dxfId="468" priority="460" operator="containsText" text="PSR">
      <formula>NOT(ISERROR(SEARCH("PSR",Z7)))</formula>
    </cfRule>
    <cfRule type="containsText" dxfId="467" priority="459" operator="containsText" text="PSr">
      <formula>NOT(ISERROR(SEARCH("PSr",Z7)))</formula>
    </cfRule>
    <cfRule type="containsText" dxfId="466" priority="458" operator="containsText" text="OFF">
      <formula>NOT(ISERROR(SEARCH("OFF",Z7)))</formula>
    </cfRule>
    <cfRule type="containsText" dxfId="465" priority="457" operator="containsText" text="N">
      <formula>NOT(ISERROR(SEARCH("N",Z7)))</formula>
    </cfRule>
    <cfRule type="containsText" dxfId="464" priority="444" operator="containsText" text="N">
      <formula>NOT(ISERROR(SEARCH("N",Z7)))</formula>
    </cfRule>
    <cfRule type="containsText" dxfId="463" priority="456" operator="containsText" text="OFF">
      <formula>NOT(ISERROR(SEARCH("OFF",Z7)))</formula>
    </cfRule>
    <cfRule type="containsText" dxfId="462" priority="455" operator="containsText" text="N">
      <formula>NOT(ISERROR(SEARCH("N",Z7)))</formula>
    </cfRule>
    <cfRule type="cellIs" dxfId="461" priority="454" operator="equal">
      <formula>"C"</formula>
    </cfRule>
    <cfRule type="containsText" dxfId="460" priority="453" operator="containsText" text="OFF">
      <formula>NOT(ISERROR(SEARCH("OFF",Z7)))</formula>
    </cfRule>
    <cfRule type="containsText" dxfId="459" priority="450" operator="containsText" text="N">
      <formula>NOT(ISERROR(SEARCH("N",Z7)))</formula>
    </cfRule>
    <cfRule type="containsText" dxfId="458" priority="449" operator="containsText" text="PSR">
      <formula>NOT(ISERROR(SEARCH("PSR",Z7)))</formula>
    </cfRule>
    <cfRule type="containsText" dxfId="457" priority="448" operator="containsText" text="PSR">
      <formula>NOT(ISERROR(SEARCH("PSR",Z7)))</formula>
    </cfRule>
    <cfRule type="containsText" dxfId="456" priority="447" operator="containsText" text="PSr">
      <formula>NOT(ISERROR(SEARCH("PSr",Z7)))</formula>
    </cfRule>
    <cfRule type="cellIs" dxfId="455" priority="446" operator="equal">
      <formula>"C"</formula>
    </cfRule>
    <cfRule type="containsText" dxfId="454" priority="445" operator="containsText" text="OFF">
      <formula>NOT(ISERROR(SEARCH("OFF",Z7)))</formula>
    </cfRule>
    <cfRule type="containsText" dxfId="453" priority="442" operator="containsText" text="N">
      <formula>NOT(ISERROR(SEARCH("N",Z7)))</formula>
    </cfRule>
    <cfRule type="containsText" dxfId="452" priority="441" operator="containsText" text="PSR">
      <formula>NOT(ISERROR(SEARCH("PSR",Z7)))</formula>
    </cfRule>
    <cfRule type="containsText" dxfId="451" priority="440" operator="containsText" text="PSR">
      <formula>NOT(ISERROR(SEARCH("PSR",Z7)))</formula>
    </cfRule>
    <cfRule type="containsText" dxfId="450" priority="439" operator="containsText" text="PSr">
      <formula>NOT(ISERROR(SEARCH("PSr",Z7)))</formula>
    </cfRule>
    <cfRule type="containsText" dxfId="449" priority="438" operator="containsText" text="OFF">
      <formula>NOT(ISERROR(SEARCH("OFF",Z7)))</formula>
    </cfRule>
    <cfRule type="containsText" dxfId="448" priority="437" operator="containsText" text="N">
      <formula>NOT(ISERROR(SEARCH("N",Z7)))</formula>
    </cfRule>
  </conditionalFormatting>
  <conditionalFormatting sqref="AB6">
    <cfRule type="containsText" dxfId="447" priority="2" operator="containsText" text="WH">
      <formula>NOT(ISERROR(SEARCH("WH",AB6)))</formula>
    </cfRule>
    <cfRule type="containsText" dxfId="446" priority="3" operator="containsText" text="F84">
      <formula>NOT(ISERROR(SEARCH("F84",AB6)))</formula>
    </cfRule>
    <cfRule type="containsText" dxfId="445" priority="1" operator="containsText" text="TH">
      <formula>NOT(ISERROR(SEARCH("TH",AB6)))</formula>
    </cfRule>
    <cfRule type="containsText" dxfId="444" priority="12" operator="containsText" text="OFF">
      <formula>NOT(ISERROR(SEARCH("OFF",AB6)))</formula>
    </cfRule>
    <cfRule type="containsText" dxfId="443" priority="11" operator="containsText" text="OFF">
      <formula>NOT(ISERROR(SEARCH("OFF",AB6)))</formula>
    </cfRule>
    <cfRule type="containsText" dxfId="442" priority="10" operator="containsText" text="C">
      <formula>NOT(ISERROR(SEARCH("C",AB6)))</formula>
    </cfRule>
    <cfRule type="containsText" dxfId="441" priority="9" operator="containsText" text="MCT">
      <formula>NOT(ISERROR(SEARCH("MCT",AB6)))</formula>
    </cfRule>
    <cfRule type="containsText" dxfId="440" priority="8" operator="containsText" text="CT12">
      <formula>NOT(ISERROR(SEARCH("CT12",AB6)))</formula>
    </cfRule>
    <cfRule type="containsText" dxfId="439" priority="7" operator="containsText" text="CT16">
      <formula>NOT(ISERROR(SEARCH("CT16",AB6)))</formula>
    </cfRule>
  </conditionalFormatting>
  <conditionalFormatting sqref="AC5:AF5">
    <cfRule type="containsText" dxfId="438" priority="814" operator="containsText" text="OFF">
      <formula>NOT(ISERROR(SEARCH("OFF",AC5)))</formula>
    </cfRule>
    <cfRule type="cellIs" dxfId="437" priority="815" operator="equal">
      <formula>"MCT"</formula>
    </cfRule>
    <cfRule type="cellIs" dxfId="436" priority="816" operator="equal">
      <formula>"OFF"</formula>
    </cfRule>
    <cfRule type="containsText" dxfId="435" priority="817" operator="containsText" text="OFF">
      <formula>NOT(ISERROR(SEARCH("OFF",AC5)))</formula>
    </cfRule>
    <cfRule type="containsText" dxfId="434" priority="818" operator="containsText" text="N">
      <formula>NOT(ISERROR(SEARCH("N",AC5)))</formula>
    </cfRule>
    <cfRule type="containsText" dxfId="433" priority="819" operator="containsText" text="OFF">
      <formula>NOT(ISERROR(SEARCH("OFF",AC5)))</formula>
    </cfRule>
    <cfRule type="containsText" dxfId="432" priority="820" operator="containsText" text="N">
      <formula>NOT(ISERROR(SEARCH("N",AC5)))</formula>
    </cfRule>
    <cfRule type="containsText" dxfId="431" priority="821" operator="containsText" text="CT16">
      <formula>NOT(ISERROR(SEARCH("CT16",AC5)))</formula>
    </cfRule>
    <cfRule type="containsText" dxfId="430" priority="822" operator="containsText" text="CT12">
      <formula>NOT(ISERROR(SEARCH("CT12",AC5)))</formula>
    </cfRule>
    <cfRule type="containsText" dxfId="429" priority="823" operator="containsText" text="MCT">
      <formula>NOT(ISERROR(SEARCH("MCT",AC5)))</formula>
    </cfRule>
    <cfRule type="containsText" dxfId="428" priority="824" operator="containsText" text="OFF">
      <formula>NOT(ISERROR(SEARCH("OFF",AC5)))</formula>
    </cfRule>
    <cfRule type="cellIs" dxfId="427" priority="825" operator="equal">
      <formula>"MCT"</formula>
    </cfRule>
    <cfRule type="cellIs" dxfId="426" priority="826" operator="equal">
      <formula>"OFF"</formula>
    </cfRule>
    <cfRule type="containsText" dxfId="425" priority="827" operator="containsText" text="C">
      <formula>NOT(ISERROR(SEARCH("C",AC5)))</formula>
    </cfRule>
    <cfRule type="containsText" dxfId="424" priority="739" operator="containsText" text="N">
      <formula>NOT(ISERROR(SEARCH("N",AC5)))</formula>
    </cfRule>
    <cfRule type="containsText" dxfId="423" priority="764" operator="containsText" text="OFF">
      <formula>NOT(ISERROR(SEARCH("OFF",AC5)))</formula>
    </cfRule>
    <cfRule type="containsText" dxfId="422" priority="722" operator="containsText" text="OFF">
      <formula>NOT(ISERROR(SEARCH("OFF",AC5)))</formula>
    </cfRule>
    <cfRule type="containsText" dxfId="421" priority="723" operator="containsText" text="N">
      <formula>NOT(ISERROR(SEARCH("N",AC5)))</formula>
    </cfRule>
    <cfRule type="containsText" dxfId="420" priority="724" operator="containsText" text="OFF">
      <formula>NOT(ISERROR(SEARCH("OFF",AC5)))</formula>
    </cfRule>
    <cfRule type="containsText" dxfId="419" priority="725" operator="containsText" text="N">
      <formula>NOT(ISERROR(SEARCH("N",AC5)))</formula>
    </cfRule>
    <cfRule type="containsText" dxfId="418" priority="726" operator="containsText" text="OFF">
      <formula>NOT(ISERROR(SEARCH("OFF",AC5)))</formula>
    </cfRule>
    <cfRule type="containsText" dxfId="417" priority="727" operator="containsText" text="N">
      <formula>NOT(ISERROR(SEARCH("N",AC5)))</formula>
    </cfRule>
    <cfRule type="containsText" dxfId="416" priority="728" operator="containsText" text="OFF">
      <formula>NOT(ISERROR(SEARCH("OFF",AC5)))</formula>
    </cfRule>
    <cfRule type="containsText" dxfId="415" priority="729" operator="containsText" text="N">
      <formula>NOT(ISERROR(SEARCH("N",AC5)))</formula>
    </cfRule>
    <cfRule type="containsText" dxfId="414" priority="730" operator="containsText" text="OFF">
      <formula>NOT(ISERROR(SEARCH("OFF",AC5)))</formula>
    </cfRule>
    <cfRule type="cellIs" dxfId="413" priority="731" operator="equal">
      <formula>"MCT"</formula>
    </cfRule>
    <cfRule type="cellIs" dxfId="412" priority="732" operator="equal">
      <formula>"OFF"</formula>
    </cfRule>
    <cfRule type="containsText" dxfId="411" priority="733" operator="containsText" text="N">
      <formula>NOT(ISERROR(SEARCH("N",AC5)))</formula>
    </cfRule>
    <cfRule type="containsText" dxfId="410" priority="734" operator="containsText" text="OFF">
      <formula>NOT(ISERROR(SEARCH("OFF",AC5)))</formula>
    </cfRule>
    <cfRule type="containsText" dxfId="409" priority="735" operator="containsText" text="N">
      <formula>NOT(ISERROR(SEARCH("N",AC5)))</formula>
    </cfRule>
    <cfRule type="cellIs" dxfId="408" priority="736" operator="equal">
      <formula>"MCT"</formula>
    </cfRule>
    <cfRule type="cellIs" dxfId="407" priority="737" operator="equal">
      <formula>"OFF"</formula>
    </cfRule>
    <cfRule type="containsText" dxfId="406" priority="738" operator="containsText" text="OFF">
      <formula>NOT(ISERROR(SEARCH("OFF",AC5)))</formula>
    </cfRule>
    <cfRule type="containsText" dxfId="405" priority="740" operator="containsText" text="OFF">
      <formula>NOT(ISERROR(SEARCH("OFF",AC5)))</formula>
    </cfRule>
    <cfRule type="containsText" dxfId="404" priority="741" operator="containsText" text="TH">
      <formula>NOT(ISERROR(SEARCH("TH",AC5)))</formula>
    </cfRule>
    <cfRule type="containsText" dxfId="403" priority="742" operator="containsText" text="WH">
      <formula>NOT(ISERROR(SEARCH("WH",AC5)))</formula>
    </cfRule>
    <cfRule type="containsText" dxfId="402" priority="743" operator="containsText" text="F84">
      <formula>NOT(ISERROR(SEARCH("F84",AC5)))</formula>
    </cfRule>
    <cfRule type="containsText" dxfId="401" priority="744" operator="containsText" text="TH">
      <formula>NOT(ISERROR(SEARCH("TH",AC5)))</formula>
    </cfRule>
    <cfRule type="containsText" dxfId="400" priority="745" operator="containsText" text="WH">
      <formula>NOT(ISERROR(SEARCH("WH",AC5)))</formula>
    </cfRule>
    <cfRule type="containsText" dxfId="399" priority="746" operator="containsText" text="F84">
      <formula>NOT(ISERROR(SEARCH("F84",AC5)))</formula>
    </cfRule>
    <cfRule type="containsText" dxfId="398" priority="747" operator="containsText" text="TH">
      <formula>NOT(ISERROR(SEARCH("TH",AC5)))</formula>
    </cfRule>
    <cfRule type="containsText" dxfId="397" priority="748" operator="containsText" text="WH">
      <formula>NOT(ISERROR(SEARCH("WH",AC5)))</formula>
    </cfRule>
    <cfRule type="containsText" dxfId="396" priority="749" operator="containsText" text="F84">
      <formula>NOT(ISERROR(SEARCH("F84",AC5)))</formula>
    </cfRule>
    <cfRule type="containsText" dxfId="395" priority="750" operator="containsText" text="N">
      <formula>NOT(ISERROR(SEARCH("N",AC5)))</formula>
    </cfRule>
    <cfRule type="containsText" dxfId="394" priority="751" operator="containsText" text="OFF">
      <formula>NOT(ISERROR(SEARCH("OFF",AC5)))</formula>
    </cfRule>
    <cfRule type="containsText" dxfId="393" priority="752" operator="containsText" text="N">
      <formula>NOT(ISERROR(SEARCH("N",AC5)))</formula>
    </cfRule>
    <cfRule type="containsText" dxfId="392" priority="753" operator="containsText" text="OFF">
      <formula>NOT(ISERROR(SEARCH("OFF",AC5)))</formula>
    </cfRule>
    <cfRule type="cellIs" dxfId="391" priority="754" operator="equal">
      <formula>"MCT"</formula>
    </cfRule>
    <cfRule type="cellIs" dxfId="390" priority="755" operator="equal">
      <formula>"OFF"</formula>
    </cfRule>
    <cfRule type="containsText" dxfId="389" priority="756" operator="containsText" text="N">
      <formula>NOT(ISERROR(SEARCH("N",AC5)))</formula>
    </cfRule>
    <cfRule type="containsText" dxfId="388" priority="757" operator="containsText" text="OFF">
      <formula>NOT(ISERROR(SEARCH("OFF",AC5)))</formula>
    </cfRule>
    <cfRule type="containsText" dxfId="387" priority="758" operator="containsText" text="N">
      <formula>NOT(ISERROR(SEARCH("N",AC5)))</formula>
    </cfRule>
    <cfRule type="containsText" dxfId="386" priority="759" operator="containsText" text="OFF">
      <formula>NOT(ISERROR(SEARCH("OFF",AC5)))</formula>
    </cfRule>
    <cfRule type="cellIs" dxfId="385" priority="760" operator="equal">
      <formula>"MCT"</formula>
    </cfRule>
    <cfRule type="cellIs" dxfId="384" priority="761" operator="equal">
      <formula>"OFF"</formula>
    </cfRule>
    <cfRule type="containsText" dxfId="383" priority="762" operator="containsText" text="OFF">
      <formula>NOT(ISERROR(SEARCH("OFF",AC5)))</formula>
    </cfRule>
    <cfRule type="containsText" dxfId="382" priority="763" operator="containsText" text="N">
      <formula>NOT(ISERROR(SEARCH("N",AC5)))</formula>
    </cfRule>
    <cfRule type="containsText" dxfId="381" priority="765" operator="containsText" text="N">
      <formula>NOT(ISERROR(SEARCH("N",AC5)))</formula>
    </cfRule>
    <cfRule type="containsText" dxfId="380" priority="766" operator="containsText" text="CT16">
      <formula>NOT(ISERROR(SEARCH("CT16",AC5)))</formula>
    </cfRule>
    <cfRule type="containsText" dxfId="379" priority="767" operator="containsText" text="CT12">
      <formula>NOT(ISERROR(SEARCH("CT12",AC5)))</formula>
    </cfRule>
    <cfRule type="containsText" dxfId="378" priority="768" operator="containsText" text="MCT">
      <formula>NOT(ISERROR(SEARCH("MCT",AC5)))</formula>
    </cfRule>
    <cfRule type="containsText" dxfId="377" priority="769" operator="containsText" text="OFF">
      <formula>NOT(ISERROR(SEARCH("OFF",AC5)))</formula>
    </cfRule>
    <cfRule type="cellIs" dxfId="376" priority="770" operator="equal">
      <formula>"MCT"</formula>
    </cfRule>
    <cfRule type="cellIs" dxfId="375" priority="771" operator="equal">
      <formula>"OFF"</formula>
    </cfRule>
    <cfRule type="containsText" dxfId="374" priority="772" operator="containsText" text="C">
      <formula>NOT(ISERROR(SEARCH("C",AC5)))</formula>
    </cfRule>
    <cfRule type="containsText" dxfId="373" priority="773" operator="containsText" text="CT16">
      <formula>NOT(ISERROR(SEARCH("CT16",AC5)))</formula>
    </cfRule>
    <cfRule type="containsText" dxfId="372" priority="774" operator="containsText" text="CT12">
      <formula>NOT(ISERROR(SEARCH("CT12",AC5)))</formula>
    </cfRule>
    <cfRule type="containsText" dxfId="371" priority="775" operator="containsText" text="MCT">
      <formula>NOT(ISERROR(SEARCH("MCT",AC5)))</formula>
    </cfRule>
    <cfRule type="containsText" dxfId="370" priority="776" operator="containsText" text="C">
      <formula>NOT(ISERROR(SEARCH("C",AC5)))</formula>
    </cfRule>
    <cfRule type="containsText" dxfId="369" priority="777" operator="containsText" text="OFF">
      <formula>NOT(ISERROR(SEARCH("OFF",AC5)))</formula>
    </cfRule>
    <cfRule type="containsText" dxfId="368" priority="778" operator="containsText" text="N">
      <formula>NOT(ISERROR(SEARCH("N",AC5)))</formula>
    </cfRule>
    <cfRule type="containsText" dxfId="367" priority="779" operator="containsText" text="OFF">
      <formula>NOT(ISERROR(SEARCH("OFF",AC5)))</formula>
    </cfRule>
    <cfRule type="containsText" dxfId="366" priority="780" operator="containsText" text="N">
      <formula>NOT(ISERROR(SEARCH("N",AC5)))</formula>
    </cfRule>
    <cfRule type="containsText" dxfId="365" priority="781" operator="containsText" text="OFF">
      <formula>NOT(ISERROR(SEARCH("OFF",AC5)))</formula>
    </cfRule>
    <cfRule type="containsText" dxfId="364" priority="782" operator="containsText" text="N">
      <formula>NOT(ISERROR(SEARCH("N",AC5)))</formula>
    </cfRule>
    <cfRule type="containsText" dxfId="363" priority="783" operator="containsText" text="OFF">
      <formula>NOT(ISERROR(SEARCH("OFF",AC5)))</formula>
    </cfRule>
    <cfRule type="containsText" dxfId="362" priority="784" operator="containsText" text="N">
      <formula>NOT(ISERROR(SEARCH("N",AC5)))</formula>
    </cfRule>
    <cfRule type="containsText" dxfId="361" priority="785" operator="containsText" text="OFF">
      <formula>NOT(ISERROR(SEARCH("OFF",AC5)))</formula>
    </cfRule>
    <cfRule type="cellIs" dxfId="360" priority="786" operator="equal">
      <formula>"MCT"</formula>
    </cfRule>
    <cfRule type="cellIs" dxfId="359" priority="787" operator="equal">
      <formula>"OFF"</formula>
    </cfRule>
    <cfRule type="containsText" dxfId="358" priority="788" operator="containsText" text="N">
      <formula>NOT(ISERROR(SEARCH("N",AC5)))</formula>
    </cfRule>
    <cfRule type="containsText" dxfId="357" priority="789" operator="containsText" text="OFF">
      <formula>NOT(ISERROR(SEARCH("OFF",AC5)))</formula>
    </cfRule>
    <cfRule type="containsText" dxfId="356" priority="790" operator="containsText" text="N">
      <formula>NOT(ISERROR(SEARCH("N",AC5)))</formula>
    </cfRule>
    <cfRule type="cellIs" dxfId="355" priority="791" operator="equal">
      <formula>"MCT"</formula>
    </cfRule>
    <cfRule type="cellIs" dxfId="354" priority="792" operator="equal">
      <formula>"OFF"</formula>
    </cfRule>
    <cfRule type="containsText" dxfId="353" priority="793" operator="containsText" text="OFF">
      <formula>NOT(ISERROR(SEARCH("OFF",AC5)))</formula>
    </cfRule>
    <cfRule type="containsText" dxfId="352" priority="794" operator="containsText" text="N">
      <formula>NOT(ISERROR(SEARCH("N",AC5)))</formula>
    </cfRule>
    <cfRule type="containsText" dxfId="351" priority="795" operator="containsText" text="OFF">
      <formula>NOT(ISERROR(SEARCH("OFF",AC5)))</formula>
    </cfRule>
    <cfRule type="containsText" dxfId="350" priority="796" operator="containsText" text="TH">
      <formula>NOT(ISERROR(SEARCH("TH",AC5)))</formula>
    </cfRule>
    <cfRule type="containsText" dxfId="349" priority="797" operator="containsText" text="WH">
      <formula>NOT(ISERROR(SEARCH("WH",AC5)))</formula>
    </cfRule>
    <cfRule type="containsText" dxfId="348" priority="798" operator="containsText" text="F84">
      <formula>NOT(ISERROR(SEARCH("F84",AC5)))</formula>
    </cfRule>
    <cfRule type="containsText" dxfId="347" priority="799" operator="containsText" text="TH">
      <formula>NOT(ISERROR(SEARCH("TH",AC5)))</formula>
    </cfRule>
    <cfRule type="containsText" dxfId="346" priority="800" operator="containsText" text="WH">
      <formula>NOT(ISERROR(SEARCH("WH",AC5)))</formula>
    </cfRule>
    <cfRule type="containsText" dxfId="345" priority="801" operator="containsText" text="F84">
      <formula>NOT(ISERROR(SEARCH("F84",AC5)))</formula>
    </cfRule>
    <cfRule type="containsText" dxfId="344" priority="805" operator="containsText" text="N">
      <formula>NOT(ISERROR(SEARCH("N",AC5)))</formula>
    </cfRule>
    <cfRule type="containsText" dxfId="343" priority="806" operator="containsText" text="OFF">
      <formula>NOT(ISERROR(SEARCH("OFF",AC5)))</formula>
    </cfRule>
    <cfRule type="containsText" dxfId="342" priority="807" operator="containsText" text="N">
      <formula>NOT(ISERROR(SEARCH("N",AC5)))</formula>
    </cfRule>
    <cfRule type="containsText" dxfId="341" priority="808" operator="containsText" text="OFF">
      <formula>NOT(ISERROR(SEARCH("OFF",AC5)))</formula>
    </cfRule>
    <cfRule type="cellIs" dxfId="340" priority="809" operator="equal">
      <formula>"MCT"</formula>
    </cfRule>
    <cfRule type="cellIs" dxfId="339" priority="810" operator="equal">
      <formula>"OFF"</formula>
    </cfRule>
    <cfRule type="containsText" dxfId="338" priority="811" operator="containsText" text="N">
      <formula>NOT(ISERROR(SEARCH("N",AC5)))</formula>
    </cfRule>
    <cfRule type="containsText" dxfId="337" priority="812" operator="containsText" text="OFF">
      <formula>NOT(ISERROR(SEARCH("OFF",AC5)))</formula>
    </cfRule>
    <cfRule type="containsText" dxfId="336" priority="813" operator="containsText" text="N">
      <formula>NOT(ISERROR(SEARCH("N",AC5)))</formula>
    </cfRule>
  </conditionalFormatting>
  <conditionalFormatting sqref="AC5:AI5">
    <cfRule type="containsText" dxfId="335" priority="717" operator="containsText" text="MCT">
      <formula>NOT(ISERROR(SEARCH("MCT",AC5)))</formula>
    </cfRule>
    <cfRule type="containsText" dxfId="334" priority="715" operator="containsText" text="CT16">
      <formula>NOT(ISERROR(SEARCH("CT16",AC5)))</formula>
    </cfRule>
    <cfRule type="containsText" dxfId="333" priority="716" operator="containsText" text="CT12">
      <formula>NOT(ISERROR(SEARCH("CT12",AC5)))</formula>
    </cfRule>
    <cfRule type="containsText" dxfId="332" priority="721" operator="containsText" text="C">
      <formula>NOT(ISERROR(SEARCH("C",AC5)))</formula>
    </cfRule>
  </conditionalFormatting>
  <conditionalFormatting sqref="AG5:AI5">
    <cfRule type="cellIs" dxfId="331" priority="720" operator="equal">
      <formula>"OFF"</formula>
    </cfRule>
    <cfRule type="containsText" dxfId="330" priority="688" operator="containsText" text="N">
      <formula>NOT(ISERROR(SEARCH("N",AG5)))</formula>
    </cfRule>
    <cfRule type="containsText" dxfId="329" priority="689" operator="containsText" text="OFF">
      <formula>NOT(ISERROR(SEARCH("OFF",AG5)))</formula>
    </cfRule>
    <cfRule type="containsText" dxfId="328" priority="690" operator="containsText" text="TH">
      <formula>NOT(ISERROR(SEARCH("TH",AG5)))</formula>
    </cfRule>
    <cfRule type="containsText" dxfId="327" priority="691" operator="containsText" text="WH">
      <formula>NOT(ISERROR(SEARCH("WH",AG5)))</formula>
    </cfRule>
    <cfRule type="containsText" dxfId="326" priority="692" operator="containsText" text="F84">
      <formula>NOT(ISERROR(SEARCH("F84",AG5)))</formula>
    </cfRule>
    <cfRule type="containsText" dxfId="325" priority="693" operator="containsText" text="TH">
      <formula>NOT(ISERROR(SEARCH("TH",AG5)))</formula>
    </cfRule>
    <cfRule type="containsText" dxfId="324" priority="714" operator="containsText" text="N">
      <formula>NOT(ISERROR(SEARCH("N",AG5)))</formula>
    </cfRule>
    <cfRule type="containsText" dxfId="323" priority="695" operator="containsText" text="F84">
      <formula>NOT(ISERROR(SEARCH("F84",AG5)))</formula>
    </cfRule>
    <cfRule type="cellIs" dxfId="322" priority="719" operator="equal">
      <formula>"MCT"</formula>
    </cfRule>
    <cfRule type="containsText" dxfId="321" priority="718" operator="containsText" text="OFF">
      <formula>NOT(ISERROR(SEARCH("OFF",AG5)))</formula>
    </cfRule>
    <cfRule type="containsText" dxfId="320" priority="684" operator="containsText" text="N">
      <formula>NOT(ISERROR(SEARCH("N",AG5)))</formula>
    </cfRule>
    <cfRule type="containsText" dxfId="319" priority="694" operator="containsText" text="WH">
      <formula>NOT(ISERROR(SEARCH("WH",AG5)))</formula>
    </cfRule>
    <cfRule type="cellIs" dxfId="318" priority="703" operator="equal">
      <formula>"MCT"</formula>
    </cfRule>
    <cfRule type="containsText" dxfId="317" priority="713" operator="containsText" text="OFF">
      <formula>NOT(ISERROR(SEARCH("OFF",AG5)))</formula>
    </cfRule>
    <cfRule type="containsText" dxfId="316" priority="712" operator="containsText" text="N">
      <formula>NOT(ISERROR(SEARCH("N",AG5)))</formula>
    </cfRule>
    <cfRule type="containsText" dxfId="315" priority="711" operator="containsText" text="OFF">
      <formula>NOT(ISERROR(SEARCH("OFF",AG5)))</formula>
    </cfRule>
    <cfRule type="cellIs" dxfId="314" priority="710" operator="equal">
      <formula>"OFF"</formula>
    </cfRule>
    <cfRule type="cellIs" dxfId="313" priority="709" operator="equal">
      <formula>"MCT"</formula>
    </cfRule>
    <cfRule type="containsText" dxfId="312" priority="708" operator="containsText" text="OFF">
      <formula>NOT(ISERROR(SEARCH("OFF",AG5)))</formula>
    </cfRule>
    <cfRule type="containsText" dxfId="311" priority="707" operator="containsText" text="N">
      <formula>NOT(ISERROR(SEARCH("N",AG5)))</formula>
    </cfRule>
    <cfRule type="containsText" dxfId="310" priority="706" operator="containsText" text="OFF">
      <formula>NOT(ISERROR(SEARCH("OFF",AG5)))</formula>
    </cfRule>
    <cfRule type="containsText" dxfId="309" priority="705" operator="containsText" text="N">
      <formula>NOT(ISERROR(SEARCH("N",AG5)))</formula>
    </cfRule>
    <cfRule type="cellIs" dxfId="308" priority="704" operator="equal">
      <formula>"OFF"</formula>
    </cfRule>
    <cfRule type="containsText" dxfId="307" priority="702" operator="containsText" text="OFF">
      <formula>NOT(ISERROR(SEARCH("OFF",AG5)))</formula>
    </cfRule>
    <cfRule type="containsText" dxfId="306" priority="701" operator="containsText" text="N">
      <formula>NOT(ISERROR(SEARCH("N",AG5)))</formula>
    </cfRule>
    <cfRule type="containsText" dxfId="305" priority="700" operator="containsText" text="OFF">
      <formula>NOT(ISERROR(SEARCH("OFF",AG5)))</formula>
    </cfRule>
    <cfRule type="containsText" dxfId="304" priority="699" operator="containsText" text="N">
      <formula>NOT(ISERROR(SEARCH("N",AG5)))</formula>
    </cfRule>
    <cfRule type="containsText" dxfId="303" priority="698" operator="containsText" text="F84">
      <formula>NOT(ISERROR(SEARCH("F84",AG5)))</formula>
    </cfRule>
    <cfRule type="containsText" dxfId="302" priority="697" operator="containsText" text="WH">
      <formula>NOT(ISERROR(SEARCH("WH",AG5)))</formula>
    </cfRule>
    <cfRule type="containsText" dxfId="301" priority="696" operator="containsText" text="TH">
      <formula>NOT(ISERROR(SEARCH("TH",AG5)))</formula>
    </cfRule>
    <cfRule type="containsText" dxfId="300" priority="687" operator="containsText" text="OFF">
      <formula>NOT(ISERROR(SEARCH("OFF",AG5)))</formula>
    </cfRule>
    <cfRule type="containsText" dxfId="299" priority="678" operator="containsText" text="N">
      <formula>NOT(ISERROR(SEARCH("N",AG5)))</formula>
    </cfRule>
    <cfRule type="containsText" dxfId="298" priority="672" operator="containsText" text="N">
      <formula>NOT(ISERROR(SEARCH("N",AG5)))</formula>
    </cfRule>
    <cfRule type="containsText" dxfId="297" priority="673" operator="containsText" text="OFF">
      <formula>NOT(ISERROR(SEARCH("OFF",AG5)))</formula>
    </cfRule>
    <cfRule type="containsText" dxfId="296" priority="674" operator="containsText" text="N">
      <formula>NOT(ISERROR(SEARCH("N",AG5)))</formula>
    </cfRule>
    <cfRule type="containsText" dxfId="295" priority="675" operator="containsText" text="OFF">
      <formula>NOT(ISERROR(SEARCH("OFF",AG5)))</formula>
    </cfRule>
    <cfRule type="containsText" dxfId="294" priority="676" operator="containsText" text="N">
      <formula>NOT(ISERROR(SEARCH("N",AG5)))</formula>
    </cfRule>
    <cfRule type="cellIs" dxfId="293" priority="685" operator="equal">
      <formula>"MCT"</formula>
    </cfRule>
    <cfRule type="containsText" dxfId="292" priority="683" operator="containsText" text="OFF">
      <formula>NOT(ISERROR(SEARCH("OFF",AG5)))</formula>
    </cfRule>
    <cfRule type="containsText" dxfId="291" priority="682" operator="containsText" text="N">
      <formula>NOT(ISERROR(SEARCH("N",AG5)))</formula>
    </cfRule>
    <cfRule type="cellIs" dxfId="290" priority="681" operator="equal">
      <formula>"OFF"</formula>
    </cfRule>
    <cfRule type="containsText" dxfId="289" priority="677" operator="containsText" text="OFF">
      <formula>NOT(ISERROR(SEARCH("OFF",AG5)))</formula>
    </cfRule>
    <cfRule type="cellIs" dxfId="288" priority="680" operator="equal">
      <formula>"MCT"</formula>
    </cfRule>
    <cfRule type="containsText" dxfId="287" priority="679" operator="containsText" text="OFF">
      <formula>NOT(ISERROR(SEARCH("OFF",AG5)))</formula>
    </cfRule>
    <cfRule type="cellIs" dxfId="286" priority="686" operator="equal">
      <formula>"OFF"</formula>
    </cfRule>
  </conditionalFormatting>
  <conditionalFormatting sqref="AG5:AL5">
    <cfRule type="containsText" dxfId="285" priority="666" operator="containsText" text="CT16">
      <formula>NOT(ISERROR(SEARCH("CT16",AG5)))</formula>
    </cfRule>
    <cfRule type="containsText" dxfId="284" priority="667" operator="containsText" text="CT12">
      <formula>NOT(ISERROR(SEARCH("CT12",AG5)))</formula>
    </cfRule>
    <cfRule type="containsText" dxfId="283" priority="668" operator="containsText" text="MCT">
      <formula>NOT(ISERROR(SEARCH("MCT",AG5)))</formula>
    </cfRule>
    <cfRule type="containsText" dxfId="282" priority="670" operator="containsText" text="OFF">
      <formula>NOT(ISERROR(SEARCH("OFF",AG5)))</formula>
    </cfRule>
    <cfRule type="containsText" dxfId="281" priority="669" operator="containsText" text="C">
      <formula>NOT(ISERROR(SEARCH("C",AG5)))</formula>
    </cfRule>
  </conditionalFormatting>
  <conditionalFormatting sqref="AH7:AL7">
    <cfRule type="containsText" dxfId="280" priority="338" operator="containsText" text="OFF">
      <formula>NOT(ISERROR(SEARCH("OFF",AH7)))</formula>
    </cfRule>
    <cfRule type="containsText" dxfId="279" priority="337" operator="containsText" text="N">
      <formula>NOT(ISERROR(SEARCH("N",AH7)))</formula>
    </cfRule>
    <cfRule type="containsText" dxfId="278" priority="336" operator="containsText" text="OFF">
      <formula>NOT(ISERROR(SEARCH("OFF",AH7)))</formula>
    </cfRule>
    <cfRule type="containsText" dxfId="277" priority="335" operator="containsText" text="N">
      <formula>NOT(ISERROR(SEARCH("N",AH7)))</formula>
    </cfRule>
    <cfRule type="containsText" dxfId="276" priority="334" operator="containsText" text="PSR">
      <formula>NOT(ISERROR(SEARCH("PSR",AH7)))</formula>
    </cfRule>
    <cfRule type="containsText" dxfId="275" priority="333" operator="containsText" text="PSR">
      <formula>NOT(ISERROR(SEARCH("PSR",AH7)))</formula>
    </cfRule>
    <cfRule type="containsText" dxfId="274" priority="346" operator="containsText" text="N">
      <formula>NOT(ISERROR(SEARCH("N",AH7)))</formula>
    </cfRule>
    <cfRule type="containsText" dxfId="273" priority="343" operator="containsText" text="OFF">
      <formula>NOT(ISERROR(SEARCH("OFF",AH7)))</formula>
    </cfRule>
    <cfRule type="containsText" dxfId="272" priority="340" operator="containsText" text="N">
      <formula>NOT(ISERROR(SEARCH("N",AH7)))</formula>
    </cfRule>
    <cfRule type="containsText" dxfId="271" priority="345" operator="containsText" text="OFF">
      <formula>NOT(ISERROR(SEARCH("OFF",AH7)))</formula>
    </cfRule>
    <cfRule type="containsText" dxfId="270" priority="344" operator="containsText" text="N">
      <formula>NOT(ISERROR(SEARCH("N",AH7)))</formula>
    </cfRule>
    <cfRule type="containsText" dxfId="269" priority="342" operator="containsText" text="N">
      <formula>NOT(ISERROR(SEARCH("N",AH7)))</formula>
    </cfRule>
    <cfRule type="containsText" dxfId="268" priority="347" operator="containsText" text="OFF">
      <formula>NOT(ISERROR(SEARCH("OFF",AH7)))</formula>
    </cfRule>
    <cfRule type="containsText" dxfId="267" priority="341" operator="containsText" text="OFF">
      <formula>NOT(ISERROR(SEARCH("OFF",AH7)))</formula>
    </cfRule>
    <cfRule type="containsText" dxfId="266" priority="332" operator="containsText" text="PSr">
      <formula>NOT(ISERROR(SEARCH("PSr",AH7)))</formula>
    </cfRule>
    <cfRule type="cellIs" dxfId="265" priority="339" operator="equal">
      <formula>"C"</formula>
    </cfRule>
  </conditionalFormatting>
  <conditionalFormatting sqref="AI7">
    <cfRule type="containsText" dxfId="264" priority="218" operator="containsText" text="N">
      <formula>NOT(ISERROR(SEARCH("N",AI7)))</formula>
    </cfRule>
    <cfRule type="containsText" dxfId="263" priority="199" operator="containsText" text="OFF">
      <formula>NOT(ISERROR(SEARCH("OFF",AI7)))</formula>
    </cfRule>
    <cfRule type="containsText" dxfId="262" priority="202" operator="containsText" text="N">
      <formula>NOT(ISERROR(SEARCH("N",AI7)))</formula>
    </cfRule>
    <cfRule type="containsText" dxfId="261" priority="203" operator="containsText" text="OFF">
      <formula>NOT(ISERROR(SEARCH("OFF",AI7)))</formula>
    </cfRule>
    <cfRule type="containsText" dxfId="260" priority="204" operator="containsText" text="N">
      <formula>NOT(ISERROR(SEARCH("N",AI7)))</formula>
    </cfRule>
    <cfRule type="containsText" dxfId="259" priority="205" operator="containsText" text="OFF">
      <formula>NOT(ISERROR(SEARCH("OFF",AI7)))</formula>
    </cfRule>
    <cfRule type="containsText" dxfId="258" priority="206" operator="containsText" text="PSr">
      <formula>NOT(ISERROR(SEARCH("PSr",AI7)))</formula>
    </cfRule>
    <cfRule type="containsText" dxfId="257" priority="207" operator="containsText" text="PSR">
      <formula>NOT(ISERROR(SEARCH("PSR",AI7)))</formula>
    </cfRule>
    <cfRule type="containsText" dxfId="256" priority="208" operator="containsText" text="PSR">
      <formula>NOT(ISERROR(SEARCH("PSR",AI7)))</formula>
    </cfRule>
    <cfRule type="containsText" dxfId="255" priority="209" operator="containsText" text="N">
      <formula>NOT(ISERROR(SEARCH("N",AI7)))</formula>
    </cfRule>
    <cfRule type="containsText" dxfId="254" priority="210" operator="containsText" text="OFF">
      <formula>NOT(ISERROR(SEARCH("OFF",AI7)))</formula>
    </cfRule>
    <cfRule type="containsText" dxfId="253" priority="212" operator="containsText" text="OFF">
      <formula>NOT(ISERROR(SEARCH("OFF",AI7)))</formula>
    </cfRule>
    <cfRule type="containsText" dxfId="252" priority="211" operator="containsText" text="N">
      <formula>NOT(ISERROR(SEARCH("N",AI7)))</formula>
    </cfRule>
    <cfRule type="cellIs" dxfId="251" priority="213" operator="equal">
      <formula>"C"</formula>
    </cfRule>
    <cfRule type="containsText" dxfId="250" priority="214" operator="containsText" text="PSr">
      <formula>NOT(ISERROR(SEARCH("PSr",AI7)))</formula>
    </cfRule>
    <cfRule type="containsText" dxfId="249" priority="215" operator="containsText" text="PSR">
      <formula>NOT(ISERROR(SEARCH("PSR",AI7)))</formula>
    </cfRule>
    <cfRule type="containsText" dxfId="248" priority="216" operator="containsText" text="PSR">
      <formula>NOT(ISERROR(SEARCH("PSR",AI7)))</formula>
    </cfRule>
    <cfRule type="cellIs" dxfId="247" priority="217" operator="equal">
      <formula>"C"</formula>
    </cfRule>
    <cfRule type="containsText" dxfId="246" priority="219" operator="containsText" text="OFF">
      <formula>NOT(ISERROR(SEARCH("OFF",AI7)))</formula>
    </cfRule>
    <cfRule type="containsText" dxfId="245" priority="220" operator="containsText" text="N">
      <formula>NOT(ISERROR(SEARCH("N",AI7)))</formula>
    </cfRule>
    <cfRule type="containsText" dxfId="244" priority="221" operator="containsText" text="OFF">
      <formula>NOT(ISERROR(SEARCH("OFF",AI7)))</formula>
    </cfRule>
    <cfRule type="containsText" dxfId="243" priority="222" operator="containsText" text="N">
      <formula>NOT(ISERROR(SEARCH("N",AI7)))</formula>
    </cfRule>
    <cfRule type="containsText" dxfId="242" priority="223" operator="containsText" text="OFF">
      <formula>NOT(ISERROR(SEARCH("OFF",AI7)))</formula>
    </cfRule>
    <cfRule type="containsText" dxfId="241" priority="224" operator="containsText" text="N">
      <formula>NOT(ISERROR(SEARCH("N",AI7)))</formula>
    </cfRule>
    <cfRule type="containsText" dxfId="240" priority="225" operator="containsText" text="OFF">
      <formula>NOT(ISERROR(SEARCH("OFF",AI7)))</formula>
    </cfRule>
    <cfRule type="containsText" dxfId="239" priority="226" operator="containsText" text="N">
      <formula>NOT(ISERROR(SEARCH("N",AI7)))</formula>
    </cfRule>
    <cfRule type="containsText" dxfId="238" priority="227" operator="containsText" text="OFF">
      <formula>NOT(ISERROR(SEARCH("OFF",AI7)))</formula>
    </cfRule>
    <cfRule type="containsText" dxfId="237" priority="228" operator="containsText" text="N">
      <formula>NOT(ISERROR(SEARCH("N",AI7)))</formula>
    </cfRule>
    <cfRule type="containsText" dxfId="236" priority="229" operator="containsText" text="OFF">
      <formula>NOT(ISERROR(SEARCH("OFF",AI7)))</formula>
    </cfRule>
    <cfRule type="containsText" dxfId="235" priority="230" operator="containsText" text="PSr">
      <formula>NOT(ISERROR(SEARCH("PSr",AI7)))</formula>
    </cfRule>
    <cfRule type="containsText" dxfId="234" priority="231" operator="containsText" text="PSR">
      <formula>NOT(ISERROR(SEARCH("PSR",AI7)))</formula>
    </cfRule>
    <cfRule type="containsText" dxfId="233" priority="232" operator="containsText" text="PSR">
      <formula>NOT(ISERROR(SEARCH("PSR",AI7)))</formula>
    </cfRule>
    <cfRule type="containsText" dxfId="232" priority="233" operator="containsText" text="N">
      <formula>NOT(ISERROR(SEARCH("N",AI7)))</formula>
    </cfRule>
    <cfRule type="containsText" dxfId="231" priority="234" operator="containsText" text="OFF">
      <formula>NOT(ISERROR(SEARCH("OFF",AI7)))</formula>
    </cfRule>
    <cfRule type="containsText" dxfId="230" priority="235" operator="containsText" text="N">
      <formula>NOT(ISERROR(SEARCH("N",AI7)))</formula>
    </cfRule>
    <cfRule type="containsText" dxfId="229" priority="236" operator="containsText" text="OFF">
      <formula>NOT(ISERROR(SEARCH("OFF",AI7)))</formula>
    </cfRule>
    <cfRule type="cellIs" dxfId="228" priority="237" operator="equal">
      <formula>"C"</formula>
    </cfRule>
    <cfRule type="containsText" dxfId="227" priority="238" operator="containsText" text="N">
      <formula>NOT(ISERROR(SEARCH("N",AI7)))</formula>
    </cfRule>
    <cfRule type="containsText" dxfId="226" priority="239" operator="containsText" text="OFF">
      <formula>NOT(ISERROR(SEARCH("OFF",AI7)))</formula>
    </cfRule>
    <cfRule type="containsText" dxfId="225" priority="200" operator="containsText" text="N">
      <formula>NOT(ISERROR(SEARCH("N",AI7)))</formula>
    </cfRule>
    <cfRule type="containsText" dxfId="224" priority="240" operator="containsText" text="N">
      <formula>NOT(ISERROR(SEARCH("N",AI7)))</formula>
    </cfRule>
    <cfRule type="containsText" dxfId="223" priority="241" operator="containsText" text="OFF">
      <formula>NOT(ISERROR(SEARCH("OFF",AI7)))</formula>
    </cfRule>
    <cfRule type="containsText" dxfId="222" priority="242" operator="containsText" text="N">
      <formula>NOT(ISERROR(SEARCH("N",AI7)))</formula>
    </cfRule>
    <cfRule type="containsText" dxfId="221" priority="243" operator="containsText" text="OFF">
      <formula>NOT(ISERROR(SEARCH("OFF",AI7)))</formula>
    </cfRule>
    <cfRule type="containsText" dxfId="220" priority="244" operator="containsText" text="N">
      <formula>NOT(ISERROR(SEARCH("N",AI7)))</formula>
    </cfRule>
    <cfRule type="containsText" dxfId="219" priority="245" operator="containsText" text="OFF">
      <formula>NOT(ISERROR(SEARCH("OFF",AI7)))</formula>
    </cfRule>
    <cfRule type="containsText" dxfId="218" priority="351" operator="containsText" text="N">
      <formula>NOT(ISERROR(SEARCH("N",AI7)))</formula>
    </cfRule>
    <cfRule type="containsText" dxfId="217" priority="201" operator="containsText" text="OFF">
      <formula>NOT(ISERROR(SEARCH("OFF",AI7)))</formula>
    </cfRule>
    <cfRule type="containsText" dxfId="216" priority="352" operator="containsText" text="OFF">
      <formula>NOT(ISERROR(SEARCH("OFF",AI7)))</formula>
    </cfRule>
    <cfRule type="containsText" dxfId="215" priority="198" operator="containsText" text="N">
      <formula>NOT(ISERROR(SEARCH("N",AI7)))</formula>
    </cfRule>
    <cfRule type="cellIs" dxfId="214" priority="197" operator="equal">
      <formula>"C"</formula>
    </cfRule>
    <cfRule type="containsText" dxfId="213" priority="196" operator="containsText" text="OFF">
      <formula>NOT(ISERROR(SEARCH("OFF",AI7)))</formula>
    </cfRule>
    <cfRule type="containsText" dxfId="212" priority="195" operator="containsText" text="N">
      <formula>NOT(ISERROR(SEARCH("N",AI7)))</formula>
    </cfRule>
    <cfRule type="containsText" dxfId="211" priority="353" operator="containsText" text="N">
      <formula>NOT(ISERROR(SEARCH("N",AI7)))</formula>
    </cfRule>
    <cfRule type="containsText" dxfId="210" priority="354" operator="containsText" text="OFF">
      <formula>NOT(ISERROR(SEARCH("OFF",AI7)))</formula>
    </cfRule>
    <cfRule type="cellIs" dxfId="209" priority="355" operator="equal">
      <formula>"C"</formula>
    </cfRule>
    <cfRule type="containsText" dxfId="208" priority="356" operator="containsText" text="N">
      <formula>NOT(ISERROR(SEARCH("N",AI7)))</formula>
    </cfRule>
    <cfRule type="containsText" dxfId="207" priority="357" operator="containsText" text="OFF">
      <formula>NOT(ISERROR(SEARCH("OFF",AI7)))</formula>
    </cfRule>
    <cfRule type="containsText" dxfId="206" priority="358" operator="containsText" text="N">
      <formula>NOT(ISERROR(SEARCH("N",AI7)))</formula>
    </cfRule>
    <cfRule type="containsText" dxfId="205" priority="359" operator="containsText" text="OFF">
      <formula>NOT(ISERROR(SEARCH("OFF",AI7)))</formula>
    </cfRule>
    <cfRule type="containsText" dxfId="204" priority="360" operator="containsText" text="N">
      <formula>NOT(ISERROR(SEARCH("N",AI7)))</formula>
    </cfRule>
    <cfRule type="containsText" dxfId="203" priority="361" operator="containsText" text="OFF">
      <formula>NOT(ISERROR(SEARCH("OFF",AI7)))</formula>
    </cfRule>
  </conditionalFormatting>
  <conditionalFormatting sqref="AI7:AJ7">
    <cfRule type="containsText" dxfId="202" priority="363" operator="containsText" text="OFF">
      <formula>NOT(ISERROR(SEARCH("OFF",AI7)))</formula>
    </cfRule>
    <cfRule type="containsText" dxfId="201" priority="362" operator="containsText" text="N">
      <formula>NOT(ISERROR(SEARCH("N",AI7)))</formula>
    </cfRule>
    <cfRule type="containsText" dxfId="200" priority="181" operator="containsText" text="PSR">
      <formula>NOT(ISERROR(SEARCH("PSR",AI7)))</formula>
    </cfRule>
    <cfRule type="containsText" dxfId="199" priority="179" operator="containsText" text="PSr">
      <formula>NOT(ISERROR(SEARCH("PSr",AI7)))</formula>
    </cfRule>
    <cfRule type="containsText" dxfId="198" priority="194" operator="containsText" text="OFF">
      <formula>NOT(ISERROR(SEARCH("OFF",AI7)))</formula>
    </cfRule>
    <cfRule type="containsText" dxfId="197" priority="193" operator="containsText" text="N">
      <formula>NOT(ISERROR(SEARCH("N",AI7)))</formula>
    </cfRule>
    <cfRule type="containsText" dxfId="196" priority="180" operator="containsText" text="PSR">
      <formula>NOT(ISERROR(SEARCH("PSR",AI7)))</formula>
    </cfRule>
  </conditionalFormatting>
  <conditionalFormatting sqref="AI7:AL7">
    <cfRule type="containsText" dxfId="195" priority="350" operator="containsText" text="PSR">
      <formula>NOT(ISERROR(SEARCH("PSR",AI7)))</formula>
    </cfRule>
    <cfRule type="containsText" dxfId="194" priority="349" operator="containsText" text="PSR">
      <formula>NOT(ISERROR(SEARCH("PSR",AI7)))</formula>
    </cfRule>
    <cfRule type="containsText" dxfId="193" priority="348" operator="containsText" text="PSr">
      <formula>NOT(ISERROR(SEARCH("PSr",AI7)))</formula>
    </cfRule>
  </conditionalFormatting>
  <conditionalFormatting sqref="AJ7">
    <cfRule type="containsText" dxfId="192" priority="145" operator="containsText" text="OFF">
      <formula>NOT(ISERROR(SEARCH("OFF",AJ7)))</formula>
    </cfRule>
    <cfRule type="cellIs" dxfId="191" priority="146" operator="equal">
      <formula>"C"</formula>
    </cfRule>
    <cfRule type="containsText" dxfId="190" priority="147" operator="containsText" text="N">
      <formula>NOT(ISERROR(SEARCH("N",AJ7)))</formula>
    </cfRule>
    <cfRule type="containsText" dxfId="189" priority="148" operator="containsText" text="OFF">
      <formula>NOT(ISERROR(SEARCH("OFF",AJ7)))</formula>
    </cfRule>
    <cfRule type="containsText" dxfId="188" priority="149" operator="containsText" text="N">
      <formula>NOT(ISERROR(SEARCH("N",AJ7)))</formula>
    </cfRule>
    <cfRule type="containsText" dxfId="187" priority="150" operator="containsText" text="OFF">
      <formula>NOT(ISERROR(SEARCH("OFF",AJ7)))</formula>
    </cfRule>
    <cfRule type="containsText" dxfId="186" priority="151" operator="containsText" text="N">
      <formula>NOT(ISERROR(SEARCH("N",AJ7)))</formula>
    </cfRule>
    <cfRule type="containsText" dxfId="185" priority="152" operator="containsText" text="OFF">
      <formula>NOT(ISERROR(SEARCH("OFF",AJ7)))</formula>
    </cfRule>
    <cfRule type="containsText" dxfId="184" priority="153" operator="containsText" text="N">
      <formula>NOT(ISERROR(SEARCH("N",AJ7)))</formula>
    </cfRule>
    <cfRule type="containsText" dxfId="183" priority="154" operator="containsText" text="OFF">
      <formula>NOT(ISERROR(SEARCH("OFF",AJ7)))</formula>
    </cfRule>
    <cfRule type="containsText" dxfId="182" priority="155" operator="containsText" text="PSr">
      <formula>NOT(ISERROR(SEARCH("PSr",AJ7)))</formula>
    </cfRule>
    <cfRule type="containsText" dxfId="181" priority="192" operator="containsText" text="OFF">
      <formula>NOT(ISERROR(SEARCH("OFF",AJ7)))</formula>
    </cfRule>
    <cfRule type="containsText" dxfId="180" priority="191" operator="containsText" text="N">
      <formula>NOT(ISERROR(SEARCH("N",AJ7)))</formula>
    </cfRule>
    <cfRule type="containsText" dxfId="179" priority="190" operator="containsText" text="OFF">
      <formula>NOT(ISERROR(SEARCH("OFF",AJ7)))</formula>
    </cfRule>
    <cfRule type="containsText" dxfId="178" priority="189" operator="containsText" text="N">
      <formula>NOT(ISERROR(SEARCH("N",AJ7)))</formula>
    </cfRule>
    <cfRule type="containsText" dxfId="177" priority="188" operator="containsText" text="OFF">
      <formula>NOT(ISERROR(SEARCH("OFF",AJ7)))</formula>
    </cfRule>
    <cfRule type="containsText" dxfId="176" priority="187" operator="containsText" text="N">
      <formula>NOT(ISERROR(SEARCH("N",AJ7)))</formula>
    </cfRule>
    <cfRule type="containsText" dxfId="175" priority="185" operator="containsText" text="OFF">
      <formula>NOT(ISERROR(SEARCH("OFF",AJ7)))</formula>
    </cfRule>
    <cfRule type="containsText" dxfId="174" priority="184" operator="containsText" text="N">
      <formula>NOT(ISERROR(SEARCH("N",AJ7)))</formula>
    </cfRule>
    <cfRule type="containsText" dxfId="173" priority="183" operator="containsText" text="OFF">
      <formula>NOT(ISERROR(SEARCH("OFF",AJ7)))</formula>
    </cfRule>
    <cfRule type="containsText" dxfId="172" priority="182" operator="containsText" text="N">
      <formula>NOT(ISERROR(SEARCH("N",AJ7)))</formula>
    </cfRule>
    <cfRule type="containsText" dxfId="171" priority="178" operator="containsText" text="OFF">
      <formula>NOT(ISERROR(SEARCH("OFF",AJ7)))</formula>
    </cfRule>
    <cfRule type="containsText" dxfId="170" priority="177" operator="containsText" text="N">
      <formula>NOT(ISERROR(SEARCH("N",AJ7)))</formula>
    </cfRule>
    <cfRule type="containsText" dxfId="169" priority="176" operator="containsText" text="OFF">
      <formula>NOT(ISERROR(SEARCH("OFF",AJ7)))</formula>
    </cfRule>
    <cfRule type="containsText" dxfId="168" priority="175" operator="containsText" text="N">
      <formula>NOT(ISERROR(SEARCH("N",AJ7)))</formula>
    </cfRule>
    <cfRule type="containsText" dxfId="167" priority="174" operator="containsText" text="OFF">
      <formula>NOT(ISERROR(SEARCH("OFF",AJ7)))</formula>
    </cfRule>
    <cfRule type="containsText" dxfId="166" priority="365" operator="containsText" text="OFF">
      <formula>NOT(ISERROR(SEARCH("OFF",AJ7)))</formula>
    </cfRule>
    <cfRule type="containsText" dxfId="165" priority="364" operator="containsText" text="N">
      <formula>NOT(ISERROR(SEARCH("N",AJ7)))</formula>
    </cfRule>
    <cfRule type="containsText" dxfId="164" priority="367" operator="containsText" text="N">
      <formula>NOT(ISERROR(SEARCH("N",AJ7)))</formula>
    </cfRule>
    <cfRule type="containsText" dxfId="163" priority="368" operator="containsText" text="OFF">
      <formula>NOT(ISERROR(SEARCH("OFF",AJ7)))</formula>
    </cfRule>
    <cfRule type="containsText" dxfId="162" priority="369" operator="containsText" text="N">
      <formula>NOT(ISERROR(SEARCH("N",AJ7)))</formula>
    </cfRule>
    <cfRule type="containsText" dxfId="161" priority="370" operator="containsText" text="OFF">
      <formula>NOT(ISERROR(SEARCH("OFF",AJ7)))</formula>
    </cfRule>
    <cfRule type="containsText" dxfId="160" priority="371" operator="containsText" text="N">
      <formula>NOT(ISERROR(SEARCH("N",AJ7)))</formula>
    </cfRule>
    <cfRule type="containsText" dxfId="159" priority="372" operator="containsText" text="OFF">
      <formula>NOT(ISERROR(SEARCH("OFF",AJ7)))</formula>
    </cfRule>
    <cfRule type="cellIs" dxfId="158" priority="186" operator="equal">
      <formula>"C"</formula>
    </cfRule>
    <cfRule type="containsText" dxfId="157" priority="173" operator="containsText" text="N">
      <formula>NOT(ISERROR(SEARCH("N",AJ7)))</formula>
    </cfRule>
    <cfRule type="containsText" dxfId="156" priority="172" operator="containsText" text="OFF">
      <formula>NOT(ISERROR(SEARCH("OFF",AJ7)))</formula>
    </cfRule>
    <cfRule type="cellIs" dxfId="155" priority="366" operator="equal">
      <formula>"C"</formula>
    </cfRule>
    <cfRule type="containsText" dxfId="154" priority="144" operator="containsText" text="N">
      <formula>NOT(ISERROR(SEARCH("N",AJ7)))</formula>
    </cfRule>
    <cfRule type="containsText" dxfId="153" priority="171" operator="containsText" text="N">
      <formula>NOT(ISERROR(SEARCH("N",AJ7)))</formula>
    </cfRule>
    <cfRule type="containsText" dxfId="152" priority="170" operator="containsText" text="OFF">
      <formula>NOT(ISERROR(SEARCH("OFF",AJ7)))</formula>
    </cfRule>
    <cfRule type="containsText" dxfId="151" priority="169" operator="containsText" text="N">
      <formula>NOT(ISERROR(SEARCH("N",AJ7)))</formula>
    </cfRule>
    <cfRule type="containsText" dxfId="150" priority="168" operator="containsText" text="OFF">
      <formula>NOT(ISERROR(SEARCH("OFF",AJ7)))</formula>
    </cfRule>
    <cfRule type="containsText" dxfId="149" priority="167" operator="containsText" text="N">
      <formula>NOT(ISERROR(SEARCH("N",AJ7)))</formula>
    </cfRule>
    <cfRule type="cellIs" dxfId="148" priority="166" operator="equal">
      <formula>"C"</formula>
    </cfRule>
    <cfRule type="containsText" dxfId="147" priority="165" operator="containsText" text="PSR">
      <formula>NOT(ISERROR(SEARCH("PSR",AJ7)))</formula>
    </cfRule>
    <cfRule type="containsText" dxfId="146" priority="164" operator="containsText" text="PSR">
      <formula>NOT(ISERROR(SEARCH("PSR",AJ7)))</formula>
    </cfRule>
    <cfRule type="containsText" dxfId="145" priority="163" operator="containsText" text="PSr">
      <formula>NOT(ISERROR(SEARCH("PSr",AJ7)))</formula>
    </cfRule>
    <cfRule type="cellIs" dxfId="144" priority="162" operator="equal">
      <formula>"C"</formula>
    </cfRule>
    <cfRule type="containsText" dxfId="143" priority="161" operator="containsText" text="OFF">
      <formula>NOT(ISERROR(SEARCH("OFF",AJ7)))</formula>
    </cfRule>
    <cfRule type="containsText" dxfId="142" priority="160" operator="containsText" text="N">
      <formula>NOT(ISERROR(SEARCH("N",AJ7)))</formula>
    </cfRule>
    <cfRule type="containsText" dxfId="141" priority="159" operator="containsText" text="OFF">
      <formula>NOT(ISERROR(SEARCH("OFF",AJ7)))</formula>
    </cfRule>
    <cfRule type="containsText" dxfId="140" priority="158" operator="containsText" text="N">
      <formula>NOT(ISERROR(SEARCH("N",AJ7)))</formula>
    </cfRule>
    <cfRule type="containsText" dxfId="139" priority="157" operator="containsText" text="PSR">
      <formula>NOT(ISERROR(SEARCH("PSR",AJ7)))</formula>
    </cfRule>
    <cfRule type="containsText" dxfId="138" priority="156" operator="containsText" text="PSR">
      <formula>NOT(ISERROR(SEARCH("PSR",AJ7)))</formula>
    </cfRule>
  </conditionalFormatting>
  <conditionalFormatting sqref="AJ7:AK7">
    <cfRule type="containsText" dxfId="137" priority="373" operator="containsText" text="N">
      <formula>NOT(ISERROR(SEARCH("N",AJ7)))</formula>
    </cfRule>
    <cfRule type="containsText" dxfId="136" priority="374" operator="containsText" text="OFF">
      <formula>NOT(ISERROR(SEARCH("OFF",AJ7)))</formula>
    </cfRule>
    <cfRule type="containsText" dxfId="135" priority="143" operator="containsText" text="OFF">
      <formula>NOT(ISERROR(SEARCH("OFF",AJ7)))</formula>
    </cfRule>
    <cfRule type="containsText" dxfId="134" priority="142" operator="containsText" text="N">
      <formula>NOT(ISERROR(SEARCH("N",AJ7)))</formula>
    </cfRule>
    <cfRule type="containsText" dxfId="133" priority="130" operator="containsText" text="PSR">
      <formula>NOT(ISERROR(SEARCH("PSR",AJ7)))</formula>
    </cfRule>
    <cfRule type="containsText" dxfId="132" priority="129" operator="containsText" text="PSR">
      <formula>NOT(ISERROR(SEARCH("PSR",AJ7)))</formula>
    </cfRule>
    <cfRule type="containsText" dxfId="131" priority="128" operator="containsText" text="PSr">
      <formula>NOT(ISERROR(SEARCH("PSr",AJ7)))</formula>
    </cfRule>
  </conditionalFormatting>
  <conditionalFormatting sqref="AJ5:AL5">
    <cfRule type="containsText" dxfId="130" priority="664" operator="containsText" text="WH">
      <formula>NOT(ISERROR(SEARCH("WH",AJ5)))</formula>
    </cfRule>
    <cfRule type="containsText" dxfId="129" priority="662" operator="containsText" text="F84">
      <formula>NOT(ISERROR(SEARCH("F84",AJ5)))</formula>
    </cfRule>
    <cfRule type="containsText" dxfId="128" priority="663" operator="containsText" text="TH">
      <formula>NOT(ISERROR(SEARCH("TH",AJ5)))</formula>
    </cfRule>
    <cfRule type="containsText" dxfId="127" priority="665" operator="containsText" text="F84">
      <formula>NOT(ISERROR(SEARCH("F84",AJ5)))</formula>
    </cfRule>
    <cfRule type="containsText" dxfId="126" priority="661" operator="containsText" text="WH">
      <formula>NOT(ISERROR(SEARCH("WH",AJ5)))</formula>
    </cfRule>
    <cfRule type="containsText" dxfId="125" priority="671" operator="containsText" text="OFF">
      <formula>NOT(ISERROR(SEARCH("OFF",AJ5)))</formula>
    </cfRule>
    <cfRule type="containsText" dxfId="124" priority="660" operator="containsText" text="TH">
      <formula>NOT(ISERROR(SEARCH("TH",AJ5)))</formula>
    </cfRule>
  </conditionalFormatting>
  <conditionalFormatting sqref="AK7">
    <cfRule type="containsText" dxfId="123" priority="113" operator="containsText" text="PSR">
      <formula>NOT(ISERROR(SEARCH("PSR",AK7)))</formula>
    </cfRule>
    <cfRule type="containsText" dxfId="122" priority="112" operator="containsText" text="PSr">
      <formula>NOT(ISERROR(SEARCH("PSr",AK7)))</formula>
    </cfRule>
    <cfRule type="cellIs" dxfId="121" priority="111" operator="equal">
      <formula>"C"</formula>
    </cfRule>
    <cfRule type="containsText" dxfId="120" priority="110" operator="containsText" text="OFF">
      <formula>NOT(ISERROR(SEARCH("OFF",AK7)))</formula>
    </cfRule>
    <cfRule type="containsText" dxfId="119" priority="109" operator="containsText" text="N">
      <formula>NOT(ISERROR(SEARCH("N",AK7)))</formula>
    </cfRule>
    <cfRule type="containsText" dxfId="118" priority="108" operator="containsText" text="OFF">
      <formula>NOT(ISERROR(SEARCH("OFF",AK7)))</formula>
    </cfRule>
    <cfRule type="containsText" dxfId="117" priority="381" operator="containsText" text="OFF">
      <formula>NOT(ISERROR(SEARCH("OFF",AK7)))</formula>
    </cfRule>
    <cfRule type="containsText" dxfId="116" priority="114" operator="containsText" text="PSR">
      <formula>NOT(ISERROR(SEARCH("PSR",AK7)))</formula>
    </cfRule>
    <cfRule type="containsText" dxfId="115" priority="104" operator="containsText" text="PSr">
      <formula>NOT(ISERROR(SEARCH("PSr",AK7)))</formula>
    </cfRule>
    <cfRule type="containsText" dxfId="114" priority="103" operator="containsText" text="OFF">
      <formula>NOT(ISERROR(SEARCH("OFF",AK7)))</formula>
    </cfRule>
    <cfRule type="containsText" dxfId="113" priority="102" operator="containsText" text="N">
      <formula>NOT(ISERROR(SEARCH("N",AK7)))</formula>
    </cfRule>
    <cfRule type="containsText" dxfId="112" priority="101" operator="containsText" text="OFF">
      <formula>NOT(ISERROR(SEARCH("OFF",AK7)))</formula>
    </cfRule>
    <cfRule type="containsText" dxfId="111" priority="100" operator="containsText" text="N">
      <formula>NOT(ISERROR(SEARCH("N",AK7)))</formula>
    </cfRule>
    <cfRule type="containsText" dxfId="110" priority="99" operator="containsText" text="OFF">
      <formula>NOT(ISERROR(SEARCH("OFF",AK7)))</formula>
    </cfRule>
    <cfRule type="containsText" dxfId="109" priority="98" operator="containsText" text="N">
      <formula>NOT(ISERROR(SEARCH("N",AK7)))</formula>
    </cfRule>
    <cfRule type="containsText" dxfId="108" priority="97" operator="containsText" text="OFF">
      <formula>NOT(ISERROR(SEARCH("OFF",AK7)))</formula>
    </cfRule>
    <cfRule type="containsText" dxfId="107" priority="96" operator="containsText" text="N">
      <formula>NOT(ISERROR(SEARCH("N",AK7)))</formula>
    </cfRule>
    <cfRule type="cellIs" dxfId="106" priority="95" operator="equal">
      <formula>"C"</formula>
    </cfRule>
    <cfRule type="containsText" dxfId="105" priority="94" operator="containsText" text="OFF">
      <formula>NOT(ISERROR(SEARCH("OFF",AK7)))</formula>
    </cfRule>
    <cfRule type="containsText" dxfId="104" priority="93" operator="containsText" text="N">
      <formula>NOT(ISERROR(SEARCH("N",AK7)))</formula>
    </cfRule>
    <cfRule type="containsText" dxfId="103" priority="379" operator="containsText" text="OFF">
      <formula>NOT(ISERROR(SEARCH("OFF",AK7)))</formula>
    </cfRule>
    <cfRule type="containsText" dxfId="102" priority="380" operator="containsText" text="N">
      <formula>NOT(ISERROR(SEARCH("N",AK7)))</formula>
    </cfRule>
    <cfRule type="containsText" dxfId="101" priority="382" operator="containsText" text="N">
      <formula>NOT(ISERROR(SEARCH("N",AK7)))</formula>
    </cfRule>
    <cfRule type="containsText" dxfId="100" priority="383" operator="containsText" text="OFF">
      <formula>NOT(ISERROR(SEARCH("OFF",AK7)))</formula>
    </cfRule>
    <cfRule type="containsText" dxfId="99" priority="375" operator="containsText" text="N">
      <formula>NOT(ISERROR(SEARCH("N",AK7)))</formula>
    </cfRule>
    <cfRule type="containsText" dxfId="98" priority="105" operator="containsText" text="PSR">
      <formula>NOT(ISERROR(SEARCH("PSR",AK7)))</formula>
    </cfRule>
    <cfRule type="containsText" dxfId="97" priority="122" operator="containsText" text="N">
      <formula>NOT(ISERROR(SEARCH("N",AK7)))</formula>
    </cfRule>
    <cfRule type="containsText" dxfId="96" priority="121" operator="containsText" text="OFF">
      <formula>NOT(ISERROR(SEARCH("OFF",AK7)))</formula>
    </cfRule>
    <cfRule type="containsText" dxfId="95" priority="120" operator="containsText" text="N">
      <formula>NOT(ISERROR(SEARCH("N",AK7)))</formula>
    </cfRule>
    <cfRule type="containsText" dxfId="94" priority="119" operator="containsText" text="OFF">
      <formula>NOT(ISERROR(SEARCH("OFF",AK7)))</formula>
    </cfRule>
    <cfRule type="containsText" dxfId="93" priority="376" operator="containsText" text="OFF">
      <formula>NOT(ISERROR(SEARCH("OFF",AK7)))</formula>
    </cfRule>
    <cfRule type="cellIs" dxfId="92" priority="377" operator="equal">
      <formula>"C"</formula>
    </cfRule>
    <cfRule type="containsText" dxfId="91" priority="378" operator="containsText" text="N">
      <formula>NOT(ISERROR(SEARCH("N",AK7)))</formula>
    </cfRule>
    <cfRule type="containsText" dxfId="90" priority="118" operator="containsText" text="N">
      <formula>NOT(ISERROR(SEARCH("N",AK7)))</formula>
    </cfRule>
    <cfRule type="containsText" dxfId="89" priority="117" operator="containsText" text="OFF">
      <formula>NOT(ISERROR(SEARCH("OFF",AK7)))</formula>
    </cfRule>
    <cfRule type="containsText" dxfId="88" priority="141" operator="containsText" text="OFF">
      <formula>NOT(ISERROR(SEARCH("OFF",AK7)))</formula>
    </cfRule>
    <cfRule type="containsText" dxfId="87" priority="140" operator="containsText" text="N">
      <formula>NOT(ISERROR(SEARCH("N",AK7)))</formula>
    </cfRule>
    <cfRule type="containsText" dxfId="86" priority="106" operator="containsText" text="PSR">
      <formula>NOT(ISERROR(SEARCH("PSR",AK7)))</formula>
    </cfRule>
    <cfRule type="containsText" dxfId="85" priority="123" operator="containsText" text="OFF">
      <formula>NOT(ISERROR(SEARCH("OFF",AK7)))</formula>
    </cfRule>
    <cfRule type="containsText" dxfId="84" priority="139" operator="containsText" text="OFF">
      <formula>NOT(ISERROR(SEARCH("OFF",AK7)))</formula>
    </cfRule>
    <cfRule type="containsText" dxfId="83" priority="138" operator="containsText" text="N">
      <formula>NOT(ISERROR(SEARCH("N",AK7)))</formula>
    </cfRule>
    <cfRule type="containsText" dxfId="82" priority="137" operator="containsText" text="OFF">
      <formula>NOT(ISERROR(SEARCH("OFF",AK7)))</formula>
    </cfRule>
    <cfRule type="containsText" dxfId="81" priority="136" operator="containsText" text="N">
      <formula>NOT(ISERROR(SEARCH("N",AK7)))</formula>
    </cfRule>
    <cfRule type="cellIs" dxfId="80" priority="135" operator="equal">
      <formula>"C"</formula>
    </cfRule>
    <cfRule type="containsText" dxfId="79" priority="134" operator="containsText" text="OFF">
      <formula>NOT(ISERROR(SEARCH("OFF",AK7)))</formula>
    </cfRule>
    <cfRule type="containsText" dxfId="78" priority="133" operator="containsText" text="N">
      <formula>NOT(ISERROR(SEARCH("N",AK7)))</formula>
    </cfRule>
    <cfRule type="containsText" dxfId="77" priority="132" operator="containsText" text="OFF">
      <formula>NOT(ISERROR(SEARCH("OFF",AK7)))</formula>
    </cfRule>
    <cfRule type="containsText" dxfId="76" priority="131" operator="containsText" text="N">
      <formula>NOT(ISERROR(SEARCH("N",AK7)))</formula>
    </cfRule>
    <cfRule type="containsText" dxfId="75" priority="116" operator="containsText" text="N">
      <formula>NOT(ISERROR(SEARCH("N",AK7)))</formula>
    </cfRule>
    <cfRule type="cellIs" dxfId="74" priority="115" operator="equal">
      <formula>"C"</formula>
    </cfRule>
    <cfRule type="containsText" dxfId="73" priority="107" operator="containsText" text="N">
      <formula>NOT(ISERROR(SEARCH("N",AK7)))</formula>
    </cfRule>
    <cfRule type="containsText" dxfId="72" priority="127" operator="containsText" text="OFF">
      <formula>NOT(ISERROR(SEARCH("OFF",AK7)))</formula>
    </cfRule>
    <cfRule type="containsText" dxfId="71" priority="126" operator="containsText" text="N">
      <formula>NOT(ISERROR(SEARCH("N",AK7)))</formula>
    </cfRule>
    <cfRule type="containsText" dxfId="70" priority="125" operator="containsText" text="OFF">
      <formula>NOT(ISERROR(SEARCH("OFF",AK7)))</formula>
    </cfRule>
    <cfRule type="containsText" dxfId="69" priority="124" operator="containsText" text="N">
      <formula>NOT(ISERROR(SEARCH("N",AK7)))</formula>
    </cfRule>
  </conditionalFormatting>
  <conditionalFormatting sqref="AK7:AL7">
    <cfRule type="containsText" dxfId="68" priority="91" operator="containsText" text="N">
      <formula>NOT(ISERROR(SEARCH("N",AK7)))</formula>
    </cfRule>
    <cfRule type="containsText" dxfId="67" priority="92" operator="containsText" text="OFF">
      <formula>NOT(ISERROR(SEARCH("OFF",AK7)))</formula>
    </cfRule>
    <cfRule type="containsText" dxfId="66" priority="385" operator="containsText" text="OFF">
      <formula>NOT(ISERROR(SEARCH("OFF",AK7)))</formula>
    </cfRule>
    <cfRule type="containsText" dxfId="65" priority="78" operator="containsText" text="PSR">
      <formula>NOT(ISERROR(SEARCH("PSR",AK7)))</formula>
    </cfRule>
    <cfRule type="containsText" dxfId="64" priority="77" operator="containsText" text="PSr">
      <formula>NOT(ISERROR(SEARCH("PSr",AK7)))</formula>
    </cfRule>
    <cfRule type="containsText" dxfId="63" priority="79" operator="containsText" text="PSR">
      <formula>NOT(ISERROR(SEARCH("PSR",AK7)))</formula>
    </cfRule>
    <cfRule type="containsText" dxfId="62" priority="384" operator="containsText" text="N">
      <formula>NOT(ISERROR(SEARCH("N",AK7)))</formula>
    </cfRule>
  </conditionalFormatting>
  <conditionalFormatting sqref="AL7">
    <cfRule type="containsText" dxfId="61" priority="75" operator="containsText" text="N">
      <formula>NOT(ISERROR(SEARCH("N",AL7)))</formula>
    </cfRule>
    <cfRule type="containsText" dxfId="60" priority="74" operator="containsText" text="OFF">
      <formula>NOT(ISERROR(SEARCH("OFF",AL7)))</formula>
    </cfRule>
    <cfRule type="containsText" dxfId="59" priority="73" operator="containsText" text="N">
      <formula>NOT(ISERROR(SEARCH("N",AL7)))</formula>
    </cfRule>
    <cfRule type="containsText" dxfId="58" priority="72" operator="containsText" text="OFF">
      <formula>NOT(ISERROR(SEARCH("OFF",AL7)))</formula>
    </cfRule>
    <cfRule type="containsText" dxfId="57" priority="71" operator="containsText" text="N">
      <formula>NOT(ISERROR(SEARCH("N",AL7)))</formula>
    </cfRule>
    <cfRule type="containsText" dxfId="56" priority="70" operator="containsText" text="OFF">
      <formula>NOT(ISERROR(SEARCH("OFF",AL7)))</formula>
    </cfRule>
    <cfRule type="containsText" dxfId="55" priority="69" operator="containsText" text="N">
      <formula>NOT(ISERROR(SEARCH("N",AL7)))</formula>
    </cfRule>
    <cfRule type="containsText" dxfId="54" priority="68" operator="containsText" text="OFF">
      <formula>NOT(ISERROR(SEARCH("OFF",AL7)))</formula>
    </cfRule>
    <cfRule type="containsText" dxfId="53" priority="67" operator="containsText" text="N">
      <formula>NOT(ISERROR(SEARCH("N",AL7)))</formula>
    </cfRule>
    <cfRule type="containsText" dxfId="52" priority="66" operator="containsText" text="OFF">
      <formula>NOT(ISERROR(SEARCH("OFF",AL7)))</formula>
    </cfRule>
    <cfRule type="containsText" dxfId="51" priority="65" operator="containsText" text="N">
      <formula>NOT(ISERROR(SEARCH("N",AL7)))</formula>
    </cfRule>
    <cfRule type="cellIs" dxfId="50" priority="64" operator="equal">
      <formula>"C"</formula>
    </cfRule>
    <cfRule type="containsText" dxfId="49" priority="63" operator="containsText" text="PSR">
      <formula>NOT(ISERROR(SEARCH("PSR",AL7)))</formula>
    </cfRule>
    <cfRule type="containsText" dxfId="48" priority="62" operator="containsText" text="PSR">
      <formula>NOT(ISERROR(SEARCH("PSR",AL7)))</formula>
    </cfRule>
    <cfRule type="containsText" dxfId="47" priority="61" operator="containsText" text="PSr">
      <formula>NOT(ISERROR(SEARCH("PSr",AL7)))</formula>
    </cfRule>
    <cfRule type="cellIs" dxfId="46" priority="60" operator="equal">
      <formula>"C"</formula>
    </cfRule>
    <cfRule type="containsText" dxfId="45" priority="59" operator="containsText" text="OFF">
      <formula>NOT(ISERROR(SEARCH("OFF",AL7)))</formula>
    </cfRule>
    <cfRule type="containsText" dxfId="44" priority="58" operator="containsText" text="N">
      <formula>NOT(ISERROR(SEARCH("N",AL7)))</formula>
    </cfRule>
    <cfRule type="containsText" dxfId="43" priority="57" operator="containsText" text="OFF">
      <formula>NOT(ISERROR(SEARCH("OFF",AL7)))</formula>
    </cfRule>
    <cfRule type="containsText" dxfId="42" priority="88" operator="containsText" text="OFF">
      <formula>NOT(ISERROR(SEARCH("OFF",AL7)))</formula>
    </cfRule>
    <cfRule type="containsText" dxfId="41" priority="87" operator="containsText" text="N">
      <formula>NOT(ISERROR(SEARCH("N",AL7)))</formula>
    </cfRule>
    <cfRule type="containsText" dxfId="40" priority="86" operator="containsText" text="OFF">
      <formula>NOT(ISERROR(SEARCH("OFF",AL7)))</formula>
    </cfRule>
    <cfRule type="containsText" dxfId="39" priority="85" operator="containsText" text="N">
      <formula>NOT(ISERROR(SEARCH("N",AL7)))</formula>
    </cfRule>
    <cfRule type="containsText" dxfId="38" priority="56" operator="containsText" text="N">
      <formula>NOT(ISERROR(SEARCH("N",AL7)))</formula>
    </cfRule>
    <cfRule type="containsText" dxfId="37" priority="55" operator="containsText" text="PSR">
      <formula>NOT(ISERROR(SEARCH("PSR",AL7)))</formula>
    </cfRule>
    <cfRule type="containsText" dxfId="36" priority="54" operator="containsText" text="PSR">
      <formula>NOT(ISERROR(SEARCH("PSR",AL7)))</formula>
    </cfRule>
    <cfRule type="containsText" dxfId="35" priority="53" operator="containsText" text="PSr">
      <formula>NOT(ISERROR(SEARCH("PSr",AL7)))</formula>
    </cfRule>
    <cfRule type="cellIs" dxfId="34" priority="84" operator="equal">
      <formula>"C"</formula>
    </cfRule>
    <cfRule type="containsText" dxfId="33" priority="51" operator="containsText" text="N">
      <formula>NOT(ISERROR(SEARCH("N",AL7)))</formula>
    </cfRule>
    <cfRule type="containsText" dxfId="32" priority="50" operator="containsText" text="OFF">
      <formula>NOT(ISERROR(SEARCH("OFF",AL7)))</formula>
    </cfRule>
    <cfRule type="containsText" dxfId="31" priority="49" operator="containsText" text="N">
      <formula>NOT(ISERROR(SEARCH("N",AL7)))</formula>
    </cfRule>
    <cfRule type="containsText" dxfId="30" priority="48" operator="containsText" text="OFF">
      <formula>NOT(ISERROR(SEARCH("OFF",AL7)))</formula>
    </cfRule>
    <cfRule type="containsText" dxfId="29" priority="83" operator="containsText" text="OFF">
      <formula>NOT(ISERROR(SEARCH("OFF",AL7)))</formula>
    </cfRule>
    <cfRule type="containsText" dxfId="28" priority="47" operator="containsText" text="N">
      <formula>NOT(ISERROR(SEARCH("N",AL7)))</formula>
    </cfRule>
    <cfRule type="containsText" dxfId="27" priority="46" operator="containsText" text="OFF">
      <formula>NOT(ISERROR(SEARCH("OFF",AL7)))</formula>
    </cfRule>
    <cfRule type="containsText" dxfId="26" priority="45" operator="containsText" text="N">
      <formula>NOT(ISERROR(SEARCH("N",AL7)))</formula>
    </cfRule>
    <cfRule type="cellIs" dxfId="25" priority="44" operator="equal">
      <formula>"C"</formula>
    </cfRule>
    <cfRule type="containsText" dxfId="24" priority="43" operator="containsText" text="OFF">
      <formula>NOT(ISERROR(SEARCH("OFF",AL7)))</formula>
    </cfRule>
    <cfRule type="containsText" dxfId="23" priority="42" operator="containsText" text="N">
      <formula>NOT(ISERROR(SEARCH("N",AL7)))</formula>
    </cfRule>
    <cfRule type="containsText" dxfId="22" priority="41" operator="containsText" text="OFF">
      <formula>NOT(ISERROR(SEARCH("OFF",AL7)))</formula>
    </cfRule>
    <cfRule type="containsText" dxfId="21" priority="40" operator="containsText" text="N">
      <formula>NOT(ISERROR(SEARCH("N",AL7)))</formula>
    </cfRule>
    <cfRule type="containsText" dxfId="20" priority="39" operator="containsText" text="PSR">
      <formula>NOT(ISERROR(SEARCH("PSR",AL7)))</formula>
    </cfRule>
    <cfRule type="containsText" dxfId="19" priority="38" operator="containsText" text="PSR">
      <formula>NOT(ISERROR(SEARCH("PSR",AL7)))</formula>
    </cfRule>
    <cfRule type="containsText" dxfId="18" priority="386" operator="containsText" text="N">
      <formula>NOT(ISERROR(SEARCH("N",AL7)))</formula>
    </cfRule>
    <cfRule type="containsText" dxfId="17" priority="396" operator="containsText" text="OFF">
      <formula>NOT(ISERROR(SEARCH("OFF",AL7)))</formula>
    </cfRule>
    <cfRule type="containsText" dxfId="16" priority="387" operator="containsText" text="OFF">
      <formula>NOT(ISERROR(SEARCH("OFF",AL7)))</formula>
    </cfRule>
    <cfRule type="cellIs" dxfId="15" priority="388" operator="equal">
      <formula>"C"</formula>
    </cfRule>
    <cfRule type="containsText" dxfId="14" priority="389" operator="containsText" text="N">
      <formula>NOT(ISERROR(SEARCH("N",AL7)))</formula>
    </cfRule>
    <cfRule type="containsText" dxfId="13" priority="390" operator="containsText" text="OFF">
      <formula>NOT(ISERROR(SEARCH("OFF",AL7)))</formula>
    </cfRule>
    <cfRule type="containsText" dxfId="12" priority="391" operator="containsText" text="N">
      <formula>NOT(ISERROR(SEARCH("N",AL7)))</formula>
    </cfRule>
    <cfRule type="containsText" dxfId="11" priority="392" operator="containsText" text="OFF">
      <formula>NOT(ISERROR(SEARCH("OFF",AL7)))</formula>
    </cfRule>
    <cfRule type="containsText" dxfId="10" priority="393" operator="containsText" text="N">
      <formula>NOT(ISERROR(SEARCH("N",AL7)))</formula>
    </cfRule>
    <cfRule type="containsText" dxfId="9" priority="394" operator="containsText" text="OFF">
      <formula>NOT(ISERROR(SEARCH("OFF",AL7)))</formula>
    </cfRule>
    <cfRule type="containsText" dxfId="8" priority="395" operator="containsText" text="N">
      <formula>NOT(ISERROR(SEARCH("N",AL7)))</formula>
    </cfRule>
    <cfRule type="containsText" dxfId="7" priority="37" operator="containsText" text="PSr">
      <formula>NOT(ISERROR(SEARCH("PSr",AL7)))</formula>
    </cfRule>
    <cfRule type="containsText" dxfId="6" priority="82" operator="containsText" text="N">
      <formula>NOT(ISERROR(SEARCH("N",AL7)))</formula>
    </cfRule>
    <cfRule type="containsText" dxfId="5" priority="81" operator="containsText" text="OFF">
      <formula>NOT(ISERROR(SEARCH("OFF",AL7)))</formula>
    </cfRule>
    <cfRule type="containsText" dxfId="4" priority="80" operator="containsText" text="N">
      <formula>NOT(ISERROR(SEARCH("N",AL7)))</formula>
    </cfRule>
    <cfRule type="containsText" dxfId="3" priority="90" operator="containsText" text="OFF">
      <formula>NOT(ISERROR(SEARCH("OFF",AL7)))</formula>
    </cfRule>
    <cfRule type="containsText" dxfId="2" priority="89" operator="containsText" text="N">
      <formula>NOT(ISERROR(SEARCH("N",AL7)))</formula>
    </cfRule>
    <cfRule type="containsText" dxfId="1" priority="76" operator="containsText" text="OFF">
      <formula>NOT(ISERROR(SEARCH("OFF",AL7)))</formula>
    </cfRule>
    <cfRule type="containsText" dxfId="0" priority="52" operator="containsText" text="OFF">
      <formula>NOT(ISERROR(SEARCH("OFF",AL7)))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CD4E-07E1-4528-AD0B-C0A2EF48F307}">
  <sheetPr>
    <tabColor rgb="FFFFC000"/>
  </sheetPr>
  <dimension ref="A1:R20"/>
  <sheetViews>
    <sheetView workbookViewId="0">
      <selection activeCell="E12" sqref="E12"/>
    </sheetView>
  </sheetViews>
  <sheetFormatPr defaultRowHeight="14.5" x14ac:dyDescent="0.35"/>
  <cols>
    <col min="1" max="1" width="14.90625" bestFit="1" customWidth="1"/>
    <col min="2" max="2" width="5.453125" customWidth="1"/>
    <col min="3" max="3" width="3.54296875" bestFit="1" customWidth="1"/>
    <col min="4" max="4" width="9.81640625" bestFit="1" customWidth="1"/>
    <col min="5" max="5" width="16.1796875" bestFit="1" customWidth="1"/>
    <col min="6" max="6" width="16.81640625" bestFit="1" customWidth="1"/>
    <col min="7" max="7" width="10" bestFit="1" customWidth="1"/>
    <col min="8" max="8" width="6" bestFit="1" customWidth="1"/>
    <col min="9" max="9" width="4.453125" bestFit="1" customWidth="1"/>
    <col min="10" max="10" width="7.453125" bestFit="1" customWidth="1"/>
    <col min="11" max="11" width="6" bestFit="1" customWidth="1"/>
    <col min="12" max="12" width="4.453125" bestFit="1" customWidth="1"/>
    <col min="13" max="13" width="7.453125" bestFit="1" customWidth="1"/>
    <col min="14" max="15" width="7.81640625" bestFit="1" customWidth="1"/>
    <col min="16" max="16" width="8.1796875" bestFit="1" customWidth="1"/>
    <col min="17" max="17" width="7.81640625" bestFit="1" customWidth="1"/>
    <col min="18" max="18" width="53.453125" bestFit="1" customWidth="1"/>
  </cols>
  <sheetData>
    <row r="1" spans="1:18" x14ac:dyDescent="0.35">
      <c r="C1" s="54" t="s">
        <v>19</v>
      </c>
      <c r="D1" s="54" t="s">
        <v>1</v>
      </c>
      <c r="E1" s="54" t="s">
        <v>20</v>
      </c>
      <c r="F1" s="56" t="s">
        <v>18</v>
      </c>
      <c r="G1" s="57" t="s">
        <v>21</v>
      </c>
      <c r="H1" s="54" t="s">
        <v>22</v>
      </c>
      <c r="I1" s="54"/>
      <c r="J1" s="54"/>
      <c r="K1" s="53" t="s">
        <v>23</v>
      </c>
      <c r="L1" s="53"/>
      <c r="M1" s="53"/>
      <c r="N1" s="54" t="s">
        <v>24</v>
      </c>
      <c r="O1" s="54"/>
      <c r="P1" s="54"/>
      <c r="Q1" s="55" t="s">
        <v>25</v>
      </c>
      <c r="R1" s="13" t="s">
        <v>26</v>
      </c>
    </row>
    <row r="2" spans="1:18" x14ac:dyDescent="0.35">
      <c r="C2" s="54"/>
      <c r="D2" s="54"/>
      <c r="E2" s="54"/>
      <c r="F2" s="56"/>
      <c r="G2" s="57"/>
      <c r="H2" s="13" t="s">
        <v>27</v>
      </c>
      <c r="I2" s="13" t="s">
        <v>28</v>
      </c>
      <c r="J2" s="13" t="s">
        <v>29</v>
      </c>
      <c r="K2" s="13" t="s">
        <v>27</v>
      </c>
      <c r="L2" s="13" t="s">
        <v>28</v>
      </c>
      <c r="M2" s="13" t="s">
        <v>29</v>
      </c>
      <c r="N2" s="13" t="s">
        <v>27</v>
      </c>
      <c r="O2" s="14" t="s">
        <v>28</v>
      </c>
      <c r="P2" s="14" t="s">
        <v>29</v>
      </c>
      <c r="Q2" s="55"/>
      <c r="R2" s="13"/>
    </row>
    <row r="3" spans="1:18" x14ac:dyDescent="0.35">
      <c r="A3" t="str">
        <f>D3&amp;F3</f>
        <v>10231100146240</v>
      </c>
      <c r="C3" s="15">
        <v>1</v>
      </c>
      <c r="D3" s="16">
        <f>_xlfn.XLOOKUP(E3,ABSENSI!$C:$C,ABSENSI!$B:$B,0,0)</f>
        <v>102311001</v>
      </c>
      <c r="E3" s="17" t="s">
        <v>30</v>
      </c>
      <c r="F3" s="18">
        <v>46240</v>
      </c>
      <c r="G3" s="19">
        <v>1</v>
      </c>
      <c r="H3" s="20"/>
      <c r="I3" s="21"/>
      <c r="J3" s="22"/>
      <c r="K3" s="19"/>
      <c r="L3" s="19"/>
      <c r="M3" s="23"/>
      <c r="N3" s="39">
        <v>0.75</v>
      </c>
      <c r="O3" s="39">
        <v>0.79166666666666663</v>
      </c>
      <c r="P3" s="40">
        <v>4.1666666666666664E-2</v>
      </c>
      <c r="Q3" s="41">
        <v>4.1666666666666664E-2</v>
      </c>
      <c r="R3" s="26" t="s">
        <v>31</v>
      </c>
    </row>
    <row r="4" spans="1:18" x14ac:dyDescent="0.35">
      <c r="A4" t="str">
        <f t="shared" ref="A4:A13" si="0">D4&amp;F4</f>
        <v>10231100146245</v>
      </c>
      <c r="C4" s="15">
        <v>2</v>
      </c>
      <c r="D4" s="16">
        <f>_xlfn.XLOOKUP(E4,ABSENSI!$C:$C,ABSENSI!$B:$B,0,0)</f>
        <v>102311001</v>
      </c>
      <c r="E4" s="17" t="s">
        <v>30</v>
      </c>
      <c r="F4" s="18">
        <v>46245</v>
      </c>
      <c r="G4" s="19">
        <v>1</v>
      </c>
      <c r="H4" s="20"/>
      <c r="I4" s="21"/>
      <c r="J4" s="22"/>
      <c r="K4" s="19"/>
      <c r="L4" s="19"/>
      <c r="M4" s="23"/>
      <c r="N4" s="39">
        <v>0.75</v>
      </c>
      <c r="O4" s="39">
        <v>0.8125</v>
      </c>
      <c r="P4" s="40">
        <v>6.25E-2</v>
      </c>
      <c r="Q4" s="41">
        <v>6.25E-2</v>
      </c>
      <c r="R4" s="26" t="s">
        <v>32</v>
      </c>
    </row>
    <row r="5" spans="1:18" x14ac:dyDescent="0.35">
      <c r="A5" t="str">
        <f t="shared" si="0"/>
        <v>10211100146247</v>
      </c>
      <c r="C5" s="15">
        <v>3</v>
      </c>
      <c r="D5" s="16">
        <f>_xlfn.XLOOKUP(E5,ABSENSI!$C:$C,ABSENSI!$B:$B,0,0)</f>
        <v>102111001</v>
      </c>
      <c r="E5" s="17" t="s">
        <v>33</v>
      </c>
      <c r="F5" s="18">
        <v>46247</v>
      </c>
      <c r="G5" s="19">
        <v>1</v>
      </c>
      <c r="H5" s="20"/>
      <c r="I5" s="21"/>
      <c r="J5" s="22"/>
      <c r="K5" s="19"/>
      <c r="L5" s="19"/>
      <c r="M5" s="23"/>
      <c r="N5" s="39">
        <v>0.6875</v>
      </c>
      <c r="O5" s="39">
        <v>0.75</v>
      </c>
      <c r="P5" s="40">
        <f>O5-N5</f>
        <v>6.25E-2</v>
      </c>
      <c r="Q5" s="41">
        <f>P5</f>
        <v>6.25E-2</v>
      </c>
      <c r="R5" s="26" t="s">
        <v>34</v>
      </c>
    </row>
    <row r="6" spans="1:18" x14ac:dyDescent="0.35">
      <c r="A6" t="str">
        <f t="shared" si="0"/>
        <v>20231100246255</v>
      </c>
      <c r="C6" s="15">
        <v>4</v>
      </c>
      <c r="D6" s="16">
        <f>_xlfn.XLOOKUP(E6,ABSENSI!$C:$C,ABSENSI!$B:$B,0,0)</f>
        <v>202311002</v>
      </c>
      <c r="E6" s="27" t="s">
        <v>35</v>
      </c>
      <c r="F6" s="18">
        <v>46255</v>
      </c>
      <c r="G6" s="19">
        <v>1</v>
      </c>
      <c r="H6" s="20"/>
      <c r="I6" s="21"/>
      <c r="J6" s="22"/>
      <c r="K6" s="19"/>
      <c r="L6" s="19"/>
      <c r="M6" s="23"/>
      <c r="N6" s="39">
        <v>0.45833333333333331</v>
      </c>
      <c r="O6" s="39">
        <v>0.47916666666666669</v>
      </c>
      <c r="P6" s="40">
        <v>2.0833333333333332E-2</v>
      </c>
      <c r="Q6" s="41">
        <v>2.0833333333333332E-2</v>
      </c>
      <c r="R6" s="26" t="s">
        <v>36</v>
      </c>
    </row>
    <row r="7" spans="1:18" x14ac:dyDescent="0.35">
      <c r="A7" t="str">
        <f t="shared" si="0"/>
        <v>10211100146248</v>
      </c>
      <c r="C7" s="15">
        <v>5</v>
      </c>
      <c r="D7" s="16">
        <f>_xlfn.XLOOKUP(E7,ABSENSI!$C:$C,ABSENSI!$B:$B,0,0)</f>
        <v>102111001</v>
      </c>
      <c r="E7" s="27" t="s">
        <v>33</v>
      </c>
      <c r="F7" s="18">
        <v>46248</v>
      </c>
      <c r="G7" s="19">
        <v>1</v>
      </c>
      <c r="H7" s="20"/>
      <c r="I7" s="21"/>
      <c r="J7" s="22"/>
      <c r="K7" s="19"/>
      <c r="L7" s="19"/>
      <c r="M7" s="23"/>
      <c r="N7" s="39">
        <v>0.6875</v>
      </c>
      <c r="O7" s="39">
        <v>0.75</v>
      </c>
      <c r="P7" s="42">
        <v>6.25E-2</v>
      </c>
      <c r="Q7" s="43">
        <v>6.25E-2</v>
      </c>
      <c r="R7" s="26" t="s">
        <v>34</v>
      </c>
    </row>
    <row r="8" spans="1:18" x14ac:dyDescent="0.35">
      <c r="A8" t="str">
        <f t="shared" si="0"/>
        <v>10211100146249</v>
      </c>
      <c r="C8" s="15">
        <v>6</v>
      </c>
      <c r="D8" s="16">
        <f>_xlfn.XLOOKUP(E8,ABSENSI!$C:$C,ABSENSI!$B:$B,0,0)</f>
        <v>102111001</v>
      </c>
      <c r="E8" s="27" t="s">
        <v>33</v>
      </c>
      <c r="F8" s="18">
        <v>46249</v>
      </c>
      <c r="G8" s="19">
        <v>1</v>
      </c>
      <c r="H8" s="20"/>
      <c r="I8" s="21"/>
      <c r="J8" s="22"/>
      <c r="K8" s="19"/>
      <c r="L8" s="19"/>
      <c r="M8" s="23"/>
      <c r="N8" s="39">
        <v>0.6875</v>
      </c>
      <c r="O8" s="39">
        <v>0.72916666666666663</v>
      </c>
      <c r="P8" s="40">
        <v>4.1666666666666664E-2</v>
      </c>
      <c r="Q8" s="41">
        <v>4.1666666666666664E-2</v>
      </c>
      <c r="R8" s="26" t="s">
        <v>34</v>
      </c>
    </row>
    <row r="9" spans="1:18" x14ac:dyDescent="0.35">
      <c r="A9" t="str">
        <f t="shared" si="0"/>
        <v>10211100146250</v>
      </c>
      <c r="C9" s="15">
        <v>7</v>
      </c>
      <c r="D9" s="16">
        <f>_xlfn.XLOOKUP(E9,ABSENSI!$C:$C,ABSENSI!$B:$B,0,0)</f>
        <v>102111001</v>
      </c>
      <c r="E9" s="27" t="s">
        <v>33</v>
      </c>
      <c r="F9" s="18">
        <v>46250</v>
      </c>
      <c r="G9" s="19">
        <v>1</v>
      </c>
      <c r="H9" s="20"/>
      <c r="I9" s="21"/>
      <c r="J9" s="22"/>
      <c r="K9" s="19"/>
      <c r="L9" s="19"/>
      <c r="M9" s="23"/>
      <c r="N9" s="39">
        <v>0.6875</v>
      </c>
      <c r="O9" s="39">
        <v>0.75</v>
      </c>
      <c r="P9" s="42">
        <v>6.25E-2</v>
      </c>
      <c r="Q9" s="43">
        <v>6.25E-2</v>
      </c>
      <c r="R9" s="26" t="s">
        <v>37</v>
      </c>
    </row>
    <row r="10" spans="1:18" x14ac:dyDescent="0.35">
      <c r="A10" t="str">
        <f t="shared" si="0"/>
        <v>10211100146252</v>
      </c>
      <c r="C10" s="15">
        <v>8</v>
      </c>
      <c r="D10" s="16">
        <f>_xlfn.XLOOKUP(E10,ABSENSI!$C:$C,ABSENSI!$B:$B,0,0)</f>
        <v>102111001</v>
      </c>
      <c r="E10" s="27" t="s">
        <v>33</v>
      </c>
      <c r="F10" s="18">
        <v>46252</v>
      </c>
      <c r="G10" s="19">
        <v>1</v>
      </c>
      <c r="H10" s="20"/>
      <c r="I10" s="21"/>
      <c r="J10" s="22"/>
      <c r="K10" s="19"/>
      <c r="L10" s="19"/>
      <c r="M10" s="23"/>
      <c r="N10" s="39">
        <v>0.6875</v>
      </c>
      <c r="O10" s="39">
        <v>0.77083333333333337</v>
      </c>
      <c r="P10" s="40">
        <v>8.3333333333333329E-2</v>
      </c>
      <c r="Q10" s="41">
        <v>8.3333333333333329E-2</v>
      </c>
      <c r="R10" s="26" t="s">
        <v>38</v>
      </c>
    </row>
    <row r="11" spans="1:18" x14ac:dyDescent="0.35">
      <c r="A11" t="str">
        <f t="shared" si="0"/>
        <v>10211100146258</v>
      </c>
      <c r="C11" s="15">
        <v>9</v>
      </c>
      <c r="D11" s="16">
        <f>_xlfn.XLOOKUP(E11,ABSENSI!$C:$C,ABSENSI!$B:$B,0,0)</f>
        <v>102111001</v>
      </c>
      <c r="E11" s="27" t="s">
        <v>33</v>
      </c>
      <c r="F11" s="18">
        <v>46258</v>
      </c>
      <c r="G11" s="19">
        <v>1</v>
      </c>
      <c r="H11" s="20"/>
      <c r="I11" s="21"/>
      <c r="J11" s="22"/>
      <c r="K11" s="19"/>
      <c r="L11" s="19"/>
      <c r="M11" s="23"/>
      <c r="N11" s="39">
        <v>0.6875</v>
      </c>
      <c r="O11" s="39">
        <v>0.77083333333333337</v>
      </c>
      <c r="P11" s="40">
        <v>8.3333333333333329E-2</v>
      </c>
      <c r="Q11" s="41">
        <v>8.3333333333333329E-2</v>
      </c>
      <c r="R11" s="26" t="s">
        <v>39</v>
      </c>
    </row>
    <row r="12" spans="1:18" x14ac:dyDescent="0.35">
      <c r="A12" t="str">
        <f t="shared" si="0"/>
        <v>10231100146236</v>
      </c>
      <c r="C12" s="15">
        <v>9</v>
      </c>
      <c r="D12" s="16">
        <f>_xlfn.XLOOKUP(E12,ABSENSI!$C:$C,ABSENSI!$B:$B,0,0)</f>
        <v>102311001</v>
      </c>
      <c r="E12" s="17" t="s">
        <v>30</v>
      </c>
      <c r="F12" s="18">
        <v>46236</v>
      </c>
      <c r="G12" s="19">
        <v>1</v>
      </c>
      <c r="H12" s="20"/>
      <c r="I12" s="21"/>
      <c r="J12" s="22"/>
      <c r="K12" s="19"/>
      <c r="L12" s="19"/>
      <c r="M12" s="23"/>
      <c r="N12" s="39">
        <v>0.75</v>
      </c>
      <c r="O12" s="39">
        <v>0.79166666666666663</v>
      </c>
      <c r="P12" s="40">
        <v>4.1666666666666664E-2</v>
      </c>
      <c r="Q12" s="41">
        <v>4.1666666666666664E-2</v>
      </c>
      <c r="R12" s="26" t="s">
        <v>31</v>
      </c>
    </row>
    <row r="13" spans="1:18" x14ac:dyDescent="0.35">
      <c r="A13" t="str">
        <f t="shared" si="0"/>
        <v/>
      </c>
      <c r="C13" s="15"/>
      <c r="D13" s="16"/>
      <c r="E13" s="27"/>
      <c r="F13" s="18"/>
      <c r="G13" s="19"/>
      <c r="H13" s="20"/>
      <c r="I13" s="21"/>
      <c r="J13" s="22"/>
      <c r="K13" s="19"/>
      <c r="L13" s="19"/>
      <c r="M13" s="23"/>
      <c r="N13" s="20"/>
      <c r="O13" s="20"/>
      <c r="P13" s="24"/>
      <c r="Q13" s="25"/>
      <c r="R13" s="26"/>
    </row>
    <row r="14" spans="1:18" x14ac:dyDescent="0.35">
      <c r="C14" s="30"/>
      <c r="D14" s="19"/>
      <c r="E14" s="27"/>
      <c r="F14" s="18"/>
      <c r="G14" s="19"/>
      <c r="H14" s="20"/>
      <c r="I14" s="21"/>
      <c r="J14" s="22"/>
      <c r="K14" s="19"/>
      <c r="L14" s="19"/>
      <c r="M14" s="23"/>
      <c r="N14" s="20"/>
      <c r="O14" s="20"/>
      <c r="P14" s="28"/>
      <c r="Q14" s="29"/>
      <c r="R14" s="26"/>
    </row>
    <row r="15" spans="1:18" x14ac:dyDescent="0.35">
      <c r="C15" s="30"/>
      <c r="D15" s="19"/>
      <c r="E15" s="27"/>
      <c r="F15" s="18"/>
      <c r="G15" s="19"/>
      <c r="H15" s="20"/>
      <c r="I15" s="21"/>
      <c r="J15" s="22"/>
      <c r="K15" s="19"/>
      <c r="L15" s="19"/>
      <c r="M15" s="23"/>
      <c r="N15" s="20"/>
      <c r="O15" s="20"/>
      <c r="P15" s="24"/>
      <c r="Q15" s="25"/>
      <c r="R15" s="26"/>
    </row>
    <row r="16" spans="1:18" x14ac:dyDescent="0.35">
      <c r="C16" s="15"/>
      <c r="D16" s="19"/>
      <c r="E16" s="27"/>
      <c r="F16" s="18"/>
      <c r="G16" s="19"/>
      <c r="H16" s="20"/>
      <c r="I16" s="21"/>
      <c r="J16" s="22"/>
      <c r="K16" s="19"/>
      <c r="L16" s="19"/>
      <c r="M16" s="23"/>
      <c r="N16" s="20"/>
      <c r="O16" s="20"/>
      <c r="P16" s="28"/>
      <c r="Q16" s="29"/>
      <c r="R16" s="26"/>
    </row>
    <row r="17" spans="3:18" x14ac:dyDescent="0.35">
      <c r="C17" s="15"/>
      <c r="D17" s="19"/>
      <c r="E17" s="27"/>
      <c r="F17" s="18"/>
      <c r="G17" s="19"/>
      <c r="H17" s="20"/>
      <c r="I17" s="21"/>
      <c r="J17" s="22"/>
      <c r="K17" s="19"/>
      <c r="L17" s="19"/>
      <c r="M17" s="23"/>
      <c r="N17" s="20"/>
      <c r="O17" s="20"/>
      <c r="P17" s="24"/>
      <c r="Q17" s="25"/>
      <c r="R17" s="26"/>
    </row>
    <row r="18" spans="3:18" x14ac:dyDescent="0.35">
      <c r="C18" s="15"/>
      <c r="D18" s="16"/>
      <c r="E18" s="27"/>
      <c r="F18" s="18"/>
      <c r="G18" s="19"/>
      <c r="H18" s="20"/>
      <c r="I18" s="21"/>
      <c r="J18" s="22"/>
      <c r="K18" s="19"/>
      <c r="L18" s="19"/>
      <c r="M18" s="23"/>
      <c r="N18" s="20"/>
      <c r="O18" s="20"/>
      <c r="P18" s="28"/>
      <c r="Q18" s="29"/>
      <c r="R18" s="26"/>
    </row>
    <row r="19" spans="3:18" x14ac:dyDescent="0.35">
      <c r="C19" s="15"/>
      <c r="D19" s="19"/>
      <c r="E19" s="27"/>
      <c r="F19" s="18"/>
      <c r="G19" s="19"/>
      <c r="H19" s="20"/>
      <c r="I19" s="21"/>
      <c r="J19" s="22"/>
      <c r="K19" s="19"/>
      <c r="L19" s="19"/>
      <c r="M19" s="23"/>
      <c r="N19" s="20"/>
      <c r="O19" s="20"/>
      <c r="P19" s="24"/>
      <c r="Q19" s="25"/>
      <c r="R19" s="26"/>
    </row>
    <row r="20" spans="3:18" x14ac:dyDescent="0.35">
      <c r="C20" s="15"/>
      <c r="D20" s="19"/>
      <c r="E20" s="27"/>
      <c r="F20" s="18"/>
      <c r="G20" s="19"/>
      <c r="H20" s="20"/>
      <c r="I20" s="21"/>
      <c r="J20" s="22"/>
      <c r="K20" s="19"/>
      <c r="L20" s="19"/>
      <c r="M20" s="23"/>
      <c r="N20" s="20"/>
      <c r="O20" s="20"/>
      <c r="P20" s="28"/>
      <c r="Q20" s="29"/>
      <c r="R20" s="26"/>
    </row>
  </sheetData>
  <mergeCells count="9">
    <mergeCell ref="K1:M1"/>
    <mergeCell ref="N1:P1"/>
    <mergeCell ref="Q1:Q2"/>
    <mergeCell ref="C1:C2"/>
    <mergeCell ref="D1:D2"/>
    <mergeCell ref="E1:E2"/>
    <mergeCell ref="F1:F2"/>
    <mergeCell ref="G1:G2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BE87-6D14-4351-9A42-E026E6ED14B0}">
  <sheetPr>
    <tabColor rgb="FFFFC000"/>
  </sheetPr>
  <dimension ref="A1:I328"/>
  <sheetViews>
    <sheetView workbookViewId="0">
      <selection activeCell="C5" sqref="C5"/>
    </sheetView>
  </sheetViews>
  <sheetFormatPr defaultRowHeight="14.5" x14ac:dyDescent="0.35"/>
  <cols>
    <col min="1" max="1" width="11" bestFit="1" customWidth="1"/>
    <col min="2" max="2" width="28.1796875" bestFit="1" customWidth="1"/>
    <col min="3" max="3" width="10.1796875" bestFit="1" customWidth="1"/>
    <col min="4" max="4" width="8.1796875" bestFit="1" customWidth="1"/>
    <col min="5" max="5" width="10.7265625" bestFit="1" customWidth="1"/>
    <col min="6" max="6" width="20.453125" bestFit="1" customWidth="1"/>
    <col min="7" max="7" width="11.453125" bestFit="1" customWidth="1"/>
    <col min="8" max="8" width="13.54296875" bestFit="1" customWidth="1"/>
    <col min="9" max="9" width="5.7265625" bestFit="1" customWidth="1"/>
  </cols>
  <sheetData>
    <row r="1" spans="1:9" ht="26" x14ac:dyDescent="0.35">
      <c r="A1" s="31" t="s">
        <v>1</v>
      </c>
      <c r="B1" s="31" t="s">
        <v>40</v>
      </c>
      <c r="C1" s="32" t="s">
        <v>41</v>
      </c>
      <c r="D1" s="31" t="s">
        <v>42</v>
      </c>
      <c r="E1" s="31" t="s">
        <v>43</v>
      </c>
      <c r="F1" s="31" t="s">
        <v>44</v>
      </c>
      <c r="G1" s="31" t="s">
        <v>45</v>
      </c>
      <c r="H1" s="31" t="s">
        <v>46</v>
      </c>
      <c r="I1" s="31" t="s">
        <v>47</v>
      </c>
    </row>
    <row r="2" spans="1:9" x14ac:dyDescent="0.35">
      <c r="A2" s="33">
        <v>10151021</v>
      </c>
      <c r="B2" s="33" t="s">
        <v>8</v>
      </c>
      <c r="C2" s="35">
        <v>46236</v>
      </c>
      <c r="D2" s="33" t="s">
        <v>48</v>
      </c>
      <c r="E2" s="33" t="s">
        <v>49</v>
      </c>
      <c r="F2" s="33" t="s">
        <v>50</v>
      </c>
      <c r="G2" s="33" t="s">
        <v>51</v>
      </c>
      <c r="H2" s="36" t="s">
        <v>52</v>
      </c>
      <c r="I2" s="36" t="s">
        <v>53</v>
      </c>
    </row>
    <row r="3" spans="1:9" x14ac:dyDescent="0.35">
      <c r="A3" s="33">
        <v>10151021</v>
      </c>
      <c r="B3" s="33" t="s">
        <v>8</v>
      </c>
      <c r="C3" s="35">
        <v>46236</v>
      </c>
      <c r="D3" s="33" t="s">
        <v>54</v>
      </c>
      <c r="E3" s="33" t="s">
        <v>49</v>
      </c>
      <c r="F3" s="33" t="s">
        <v>50</v>
      </c>
      <c r="G3" s="33" t="s">
        <v>55</v>
      </c>
      <c r="H3" s="36" t="s">
        <v>56</v>
      </c>
      <c r="I3" s="36" t="s">
        <v>57</v>
      </c>
    </row>
    <row r="4" spans="1:9" x14ac:dyDescent="0.35">
      <c r="A4" s="33">
        <v>10151021</v>
      </c>
      <c r="B4" s="33" t="s">
        <v>8</v>
      </c>
      <c r="C4" s="35">
        <v>46237</v>
      </c>
      <c r="D4" s="33" t="s">
        <v>58</v>
      </c>
      <c r="E4" s="33" t="s">
        <v>49</v>
      </c>
      <c r="F4" s="33" t="s">
        <v>50</v>
      </c>
      <c r="G4" s="33" t="s">
        <v>51</v>
      </c>
      <c r="H4" s="36" t="s">
        <v>52</v>
      </c>
      <c r="I4" s="36" t="s">
        <v>53</v>
      </c>
    </row>
    <row r="5" spans="1:9" x14ac:dyDescent="0.35">
      <c r="A5" s="33">
        <v>10151021</v>
      </c>
      <c r="B5" s="33" t="s">
        <v>8</v>
      </c>
      <c r="C5" s="35">
        <v>46238</v>
      </c>
      <c r="D5" s="33" t="s">
        <v>59</v>
      </c>
      <c r="E5" s="33" t="s">
        <v>49</v>
      </c>
      <c r="F5" s="33" t="s">
        <v>50</v>
      </c>
      <c r="G5" s="33" t="s">
        <v>51</v>
      </c>
      <c r="H5" s="36" t="s">
        <v>52</v>
      </c>
      <c r="I5" s="36" t="s">
        <v>53</v>
      </c>
    </row>
    <row r="6" spans="1:9" x14ac:dyDescent="0.35">
      <c r="A6" s="33">
        <v>10151021</v>
      </c>
      <c r="B6" s="33" t="s">
        <v>8</v>
      </c>
      <c r="C6" s="35">
        <v>46238</v>
      </c>
      <c r="D6" s="33" t="s">
        <v>60</v>
      </c>
      <c r="E6" s="33" t="s">
        <v>49</v>
      </c>
      <c r="F6" s="33" t="s">
        <v>50</v>
      </c>
      <c r="G6" s="33" t="s">
        <v>55</v>
      </c>
      <c r="H6" s="36" t="s">
        <v>56</v>
      </c>
      <c r="I6" s="36" t="s">
        <v>57</v>
      </c>
    </row>
    <row r="7" spans="1:9" x14ac:dyDescent="0.35">
      <c r="A7" s="33">
        <v>10151021</v>
      </c>
      <c r="B7" s="33" t="s">
        <v>8</v>
      </c>
      <c r="C7" s="35">
        <v>46239</v>
      </c>
      <c r="D7" s="33" t="s">
        <v>61</v>
      </c>
      <c r="E7" s="33" t="s">
        <v>49</v>
      </c>
      <c r="F7" s="33" t="s">
        <v>50</v>
      </c>
      <c r="G7" s="33" t="s">
        <v>55</v>
      </c>
      <c r="H7" s="36" t="s">
        <v>56</v>
      </c>
      <c r="I7" s="36" t="s">
        <v>57</v>
      </c>
    </row>
    <row r="8" spans="1:9" x14ac:dyDescent="0.35">
      <c r="A8" s="33">
        <v>10151021</v>
      </c>
      <c r="B8" s="33" t="s">
        <v>8</v>
      </c>
      <c r="C8" s="35">
        <v>46240</v>
      </c>
      <c r="D8" s="33" t="s">
        <v>62</v>
      </c>
      <c r="E8" s="33" t="s">
        <v>49</v>
      </c>
      <c r="F8" s="33" t="s">
        <v>50</v>
      </c>
      <c r="G8" s="33" t="s">
        <v>55</v>
      </c>
      <c r="H8" s="36" t="s">
        <v>56</v>
      </c>
      <c r="I8" s="36" t="s">
        <v>57</v>
      </c>
    </row>
    <row r="9" spans="1:9" x14ac:dyDescent="0.35">
      <c r="A9" s="33">
        <v>10151021</v>
      </c>
      <c r="B9" s="33" t="s">
        <v>8</v>
      </c>
      <c r="C9" s="35">
        <v>46241</v>
      </c>
      <c r="D9" s="33" t="s">
        <v>63</v>
      </c>
      <c r="E9" s="33" t="s">
        <v>49</v>
      </c>
      <c r="F9" s="33" t="s">
        <v>50</v>
      </c>
      <c r="G9" s="33" t="s">
        <v>51</v>
      </c>
      <c r="H9" s="36" t="s">
        <v>52</v>
      </c>
      <c r="I9" s="36" t="s">
        <v>53</v>
      </c>
    </row>
    <row r="10" spans="1:9" x14ac:dyDescent="0.35">
      <c r="A10" s="33">
        <v>10151021</v>
      </c>
      <c r="B10" s="33" t="s">
        <v>8</v>
      </c>
      <c r="C10" s="35">
        <v>46241</v>
      </c>
      <c r="D10" s="33" t="s">
        <v>64</v>
      </c>
      <c r="E10" s="33" t="s">
        <v>49</v>
      </c>
      <c r="F10" s="33" t="s">
        <v>50</v>
      </c>
      <c r="G10" s="33" t="s">
        <v>55</v>
      </c>
      <c r="H10" s="36" t="s">
        <v>56</v>
      </c>
      <c r="I10" s="36" t="s">
        <v>57</v>
      </c>
    </row>
    <row r="11" spans="1:9" x14ac:dyDescent="0.35">
      <c r="A11" s="33">
        <v>10151021</v>
      </c>
      <c r="B11" s="33" t="s">
        <v>8</v>
      </c>
      <c r="C11" s="35">
        <v>46263</v>
      </c>
      <c r="D11" s="33" t="s">
        <v>65</v>
      </c>
      <c r="E11" s="33" t="s">
        <v>49</v>
      </c>
      <c r="F11" s="33" t="s">
        <v>50</v>
      </c>
      <c r="G11" s="33" t="s">
        <v>51</v>
      </c>
      <c r="H11" s="36" t="s">
        <v>52</v>
      </c>
      <c r="I11" s="36" t="s">
        <v>53</v>
      </c>
    </row>
    <row r="12" spans="1:9" x14ac:dyDescent="0.35">
      <c r="A12" s="33">
        <v>10151021</v>
      </c>
      <c r="B12" s="33" t="s">
        <v>8</v>
      </c>
      <c r="C12" s="35">
        <v>46264</v>
      </c>
      <c r="D12" s="33" t="s">
        <v>66</v>
      </c>
      <c r="E12" s="33" t="s">
        <v>49</v>
      </c>
      <c r="F12" s="33" t="s">
        <v>50</v>
      </c>
      <c r="G12" s="33" t="s">
        <v>51</v>
      </c>
      <c r="H12" s="36" t="s">
        <v>52</v>
      </c>
      <c r="I12" s="36" t="s">
        <v>53</v>
      </c>
    </row>
    <row r="13" spans="1:9" x14ac:dyDescent="0.35">
      <c r="A13" s="33">
        <v>10151021</v>
      </c>
      <c r="B13" s="33" t="s">
        <v>8</v>
      </c>
      <c r="C13" s="35">
        <v>46264</v>
      </c>
      <c r="D13" s="33" t="s">
        <v>67</v>
      </c>
      <c r="E13" s="33" t="s">
        <v>49</v>
      </c>
      <c r="F13" s="33" t="s">
        <v>50</v>
      </c>
      <c r="G13" s="33" t="s">
        <v>55</v>
      </c>
      <c r="H13" s="36" t="s">
        <v>56</v>
      </c>
      <c r="I13" s="36" t="s">
        <v>57</v>
      </c>
    </row>
    <row r="14" spans="1:9" x14ac:dyDescent="0.35">
      <c r="A14" s="33">
        <v>10151021</v>
      </c>
      <c r="B14" s="33" t="s">
        <v>8</v>
      </c>
      <c r="C14" s="35">
        <v>46265</v>
      </c>
      <c r="D14" s="33" t="s">
        <v>68</v>
      </c>
      <c r="E14" s="33" t="s">
        <v>69</v>
      </c>
      <c r="F14" s="33" t="s">
        <v>70</v>
      </c>
      <c r="G14" s="33" t="s">
        <v>51</v>
      </c>
      <c r="H14" s="36" t="s">
        <v>52</v>
      </c>
      <c r="I14" s="36" t="s">
        <v>53</v>
      </c>
    </row>
    <row r="15" spans="1:9" x14ac:dyDescent="0.35">
      <c r="A15" s="33">
        <v>10151021</v>
      </c>
      <c r="B15" s="33" t="s">
        <v>8</v>
      </c>
      <c r="C15" s="35">
        <v>46265</v>
      </c>
      <c r="D15" s="33" t="s">
        <v>71</v>
      </c>
      <c r="E15" s="33" t="s">
        <v>69</v>
      </c>
      <c r="F15" s="33" t="s">
        <v>70</v>
      </c>
      <c r="G15" s="33" t="s">
        <v>55</v>
      </c>
      <c r="H15" s="36" t="s">
        <v>56</v>
      </c>
      <c r="I15" s="36" t="s">
        <v>57</v>
      </c>
    </row>
    <row r="16" spans="1:9" x14ac:dyDescent="0.35">
      <c r="A16" s="33">
        <v>10151021</v>
      </c>
      <c r="B16" s="33" t="s">
        <v>8</v>
      </c>
      <c r="C16" s="35">
        <v>46266</v>
      </c>
      <c r="D16" s="33" t="s">
        <v>72</v>
      </c>
      <c r="E16" s="33" t="s">
        <v>73</v>
      </c>
      <c r="F16" s="33" t="s">
        <v>74</v>
      </c>
      <c r="G16" s="33" t="s">
        <v>51</v>
      </c>
      <c r="H16" s="36" t="s">
        <v>52</v>
      </c>
      <c r="I16" s="36" t="s">
        <v>53</v>
      </c>
    </row>
    <row r="17" spans="1:9" x14ac:dyDescent="0.35">
      <c r="A17" s="33">
        <v>1021040024</v>
      </c>
      <c r="B17" s="33">
        <v>0</v>
      </c>
      <c r="C17" s="35">
        <v>46235</v>
      </c>
      <c r="D17" s="33" t="s">
        <v>75</v>
      </c>
      <c r="E17" s="33" t="s">
        <v>76</v>
      </c>
      <c r="F17" s="33" t="s">
        <v>77</v>
      </c>
      <c r="G17" s="33" t="s">
        <v>55</v>
      </c>
      <c r="H17" s="36" t="s">
        <v>56</v>
      </c>
      <c r="I17" s="36" t="s">
        <v>57</v>
      </c>
    </row>
    <row r="18" spans="1:9" x14ac:dyDescent="0.35">
      <c r="A18" s="33">
        <v>1021040024</v>
      </c>
      <c r="B18" s="33">
        <v>0</v>
      </c>
      <c r="C18" s="35">
        <v>46235</v>
      </c>
      <c r="D18" s="33" t="s">
        <v>78</v>
      </c>
      <c r="E18" s="33" t="s">
        <v>76</v>
      </c>
      <c r="F18" s="33" t="s">
        <v>77</v>
      </c>
      <c r="G18" s="33" t="s">
        <v>51</v>
      </c>
      <c r="H18" s="36" t="s">
        <v>52</v>
      </c>
      <c r="I18" s="36" t="s">
        <v>53</v>
      </c>
    </row>
    <row r="19" spans="1:9" x14ac:dyDescent="0.35">
      <c r="A19" s="33">
        <v>1021040024</v>
      </c>
      <c r="B19" s="33">
        <v>0</v>
      </c>
      <c r="C19" s="35">
        <v>46236</v>
      </c>
      <c r="D19" s="33" t="s">
        <v>79</v>
      </c>
      <c r="E19" s="33" t="s">
        <v>76</v>
      </c>
      <c r="F19" s="33" t="s">
        <v>77</v>
      </c>
      <c r="G19" s="33" t="s">
        <v>55</v>
      </c>
      <c r="H19" s="36" t="s">
        <v>56</v>
      </c>
      <c r="I19" s="36" t="s">
        <v>57</v>
      </c>
    </row>
    <row r="20" spans="1:9" x14ac:dyDescent="0.35">
      <c r="A20" s="33">
        <v>1021040024</v>
      </c>
      <c r="B20" s="33">
        <v>0</v>
      </c>
      <c r="C20" s="35">
        <v>46237</v>
      </c>
      <c r="D20" s="33" t="s">
        <v>80</v>
      </c>
      <c r="E20" s="33" t="s">
        <v>76</v>
      </c>
      <c r="F20" s="33" t="s">
        <v>77</v>
      </c>
      <c r="G20" s="33" t="s">
        <v>51</v>
      </c>
      <c r="H20" s="36" t="s">
        <v>52</v>
      </c>
      <c r="I20" s="36" t="s">
        <v>53</v>
      </c>
    </row>
    <row r="21" spans="1:9" x14ac:dyDescent="0.35">
      <c r="A21" s="33">
        <v>1021040024</v>
      </c>
      <c r="B21" s="33">
        <v>0</v>
      </c>
      <c r="C21" s="35">
        <v>46237</v>
      </c>
      <c r="D21" s="33" t="s">
        <v>81</v>
      </c>
      <c r="E21" s="33" t="s">
        <v>76</v>
      </c>
      <c r="F21" s="33" t="s">
        <v>77</v>
      </c>
      <c r="G21" s="33" t="s">
        <v>55</v>
      </c>
      <c r="H21" s="36" t="s">
        <v>56</v>
      </c>
      <c r="I21" s="36" t="s">
        <v>57</v>
      </c>
    </row>
    <row r="22" spans="1:9" x14ac:dyDescent="0.35">
      <c r="A22" s="33">
        <v>1021040024</v>
      </c>
      <c r="B22" s="33">
        <v>0</v>
      </c>
      <c r="C22" s="35">
        <v>46238</v>
      </c>
      <c r="D22" s="33" t="s">
        <v>82</v>
      </c>
      <c r="E22" s="33" t="s">
        <v>76</v>
      </c>
      <c r="F22" s="33" t="s">
        <v>77</v>
      </c>
      <c r="G22" s="33" t="s">
        <v>51</v>
      </c>
      <c r="H22" s="36" t="s">
        <v>52</v>
      </c>
      <c r="I22" s="36" t="s">
        <v>53</v>
      </c>
    </row>
    <row r="23" spans="1:9" x14ac:dyDescent="0.35">
      <c r="A23" s="33">
        <v>1021040024</v>
      </c>
      <c r="B23" s="33">
        <v>0</v>
      </c>
      <c r="C23" s="35">
        <v>46238</v>
      </c>
      <c r="D23" s="33" t="s">
        <v>83</v>
      </c>
      <c r="E23" s="33" t="s">
        <v>76</v>
      </c>
      <c r="F23" s="33" t="s">
        <v>77</v>
      </c>
      <c r="G23" s="33" t="s">
        <v>55</v>
      </c>
      <c r="H23" s="36" t="s">
        <v>56</v>
      </c>
      <c r="I23" s="36" t="s">
        <v>57</v>
      </c>
    </row>
    <row r="24" spans="1:9" x14ac:dyDescent="0.35">
      <c r="A24" s="33">
        <v>1021040024</v>
      </c>
      <c r="B24" s="33">
        <v>0</v>
      </c>
      <c r="C24" s="35">
        <v>46239</v>
      </c>
      <c r="D24" s="33" t="s">
        <v>84</v>
      </c>
      <c r="E24" s="33" t="s">
        <v>76</v>
      </c>
      <c r="F24" s="33" t="s">
        <v>77</v>
      </c>
      <c r="G24" s="33" t="s">
        <v>51</v>
      </c>
      <c r="H24" s="36" t="s">
        <v>52</v>
      </c>
      <c r="I24" s="36" t="s">
        <v>53</v>
      </c>
    </row>
    <row r="25" spans="1:9" x14ac:dyDescent="0.35">
      <c r="A25" s="33">
        <v>1021040024</v>
      </c>
      <c r="B25" s="33">
        <v>0</v>
      </c>
      <c r="C25" s="35">
        <v>46239</v>
      </c>
      <c r="D25" s="33" t="s">
        <v>85</v>
      </c>
      <c r="E25" s="33" t="s">
        <v>76</v>
      </c>
      <c r="F25" s="33" t="s">
        <v>77</v>
      </c>
      <c r="G25" s="33" t="s">
        <v>55</v>
      </c>
      <c r="H25" s="36" t="s">
        <v>56</v>
      </c>
      <c r="I25" s="36" t="s">
        <v>57</v>
      </c>
    </row>
    <row r="26" spans="1:9" x14ac:dyDescent="0.35">
      <c r="A26" s="33">
        <v>1021040024</v>
      </c>
      <c r="B26" s="33">
        <v>0</v>
      </c>
      <c r="C26" s="35">
        <v>46240</v>
      </c>
      <c r="D26" s="33" t="s">
        <v>86</v>
      </c>
      <c r="E26" s="33" t="s">
        <v>76</v>
      </c>
      <c r="F26" s="33" t="s">
        <v>77</v>
      </c>
      <c r="G26" s="33" t="s">
        <v>51</v>
      </c>
      <c r="H26" s="36" t="s">
        <v>52</v>
      </c>
      <c r="I26" s="36" t="s">
        <v>53</v>
      </c>
    </row>
    <row r="27" spans="1:9" x14ac:dyDescent="0.35">
      <c r="A27" s="33">
        <v>1021040024</v>
      </c>
      <c r="B27" s="33">
        <v>0</v>
      </c>
      <c r="C27" s="35">
        <v>46240</v>
      </c>
      <c r="D27" s="33" t="s">
        <v>87</v>
      </c>
      <c r="E27" s="33" t="s">
        <v>76</v>
      </c>
      <c r="F27" s="33" t="s">
        <v>77</v>
      </c>
      <c r="G27" s="33" t="s">
        <v>55</v>
      </c>
      <c r="H27" s="36" t="s">
        <v>56</v>
      </c>
      <c r="I27" s="36" t="s">
        <v>57</v>
      </c>
    </row>
    <row r="28" spans="1:9" x14ac:dyDescent="0.35">
      <c r="A28" s="33">
        <v>1021040024</v>
      </c>
      <c r="B28" s="33">
        <v>0</v>
      </c>
      <c r="C28" s="35">
        <v>46241</v>
      </c>
      <c r="D28" s="33" t="s">
        <v>88</v>
      </c>
      <c r="E28" s="33" t="s">
        <v>76</v>
      </c>
      <c r="F28" s="33" t="s">
        <v>77</v>
      </c>
      <c r="G28" s="33" t="s">
        <v>51</v>
      </c>
      <c r="H28" s="36" t="s">
        <v>52</v>
      </c>
      <c r="I28" s="36" t="s">
        <v>53</v>
      </c>
    </row>
    <row r="29" spans="1:9" x14ac:dyDescent="0.35">
      <c r="A29" s="33">
        <v>1021040024</v>
      </c>
      <c r="B29" s="33">
        <v>0</v>
      </c>
      <c r="C29" s="35">
        <v>46241</v>
      </c>
      <c r="D29" s="33" t="s">
        <v>89</v>
      </c>
      <c r="E29" s="33" t="s">
        <v>76</v>
      </c>
      <c r="F29" s="33" t="s">
        <v>77</v>
      </c>
      <c r="G29" s="33" t="s">
        <v>55</v>
      </c>
      <c r="H29" s="36" t="s">
        <v>56</v>
      </c>
      <c r="I29" s="36" t="s">
        <v>57</v>
      </c>
    </row>
    <row r="30" spans="1:9" x14ac:dyDescent="0.35">
      <c r="A30" s="33">
        <v>1021040024</v>
      </c>
      <c r="B30" s="33">
        <v>0</v>
      </c>
      <c r="C30" s="35">
        <v>46242</v>
      </c>
      <c r="D30" s="33" t="s">
        <v>90</v>
      </c>
      <c r="E30" s="33" t="s">
        <v>76</v>
      </c>
      <c r="F30" s="33" t="s">
        <v>77</v>
      </c>
      <c r="G30" s="33" t="s">
        <v>51</v>
      </c>
      <c r="H30" s="36" t="s">
        <v>52</v>
      </c>
      <c r="I30" s="36" t="s">
        <v>53</v>
      </c>
    </row>
    <row r="31" spans="1:9" x14ac:dyDescent="0.35">
      <c r="A31" s="33">
        <v>1021040024</v>
      </c>
      <c r="B31" s="33">
        <v>0</v>
      </c>
      <c r="C31" s="35">
        <v>46242</v>
      </c>
      <c r="D31" s="33" t="s">
        <v>91</v>
      </c>
      <c r="E31" s="33" t="s">
        <v>76</v>
      </c>
      <c r="F31" s="33" t="s">
        <v>77</v>
      </c>
      <c r="G31" s="33" t="s">
        <v>55</v>
      </c>
      <c r="H31" s="36" t="s">
        <v>56</v>
      </c>
      <c r="I31" s="36" t="s">
        <v>57</v>
      </c>
    </row>
    <row r="32" spans="1:9" x14ac:dyDescent="0.35">
      <c r="A32" s="33">
        <v>1021040024</v>
      </c>
      <c r="B32" s="33">
        <v>0</v>
      </c>
      <c r="C32" s="35">
        <v>46243</v>
      </c>
      <c r="D32" s="33" t="s">
        <v>92</v>
      </c>
      <c r="E32" s="33" t="s">
        <v>76</v>
      </c>
      <c r="F32" s="33" t="s">
        <v>77</v>
      </c>
      <c r="G32" s="33" t="s">
        <v>51</v>
      </c>
      <c r="H32" s="36" t="s">
        <v>52</v>
      </c>
      <c r="I32" s="36" t="s">
        <v>53</v>
      </c>
    </row>
    <row r="33" spans="1:9" x14ac:dyDescent="0.35">
      <c r="A33" s="33">
        <v>1021040024</v>
      </c>
      <c r="B33" s="33">
        <v>0</v>
      </c>
      <c r="C33" s="35">
        <v>46244</v>
      </c>
      <c r="D33" s="33" t="s">
        <v>93</v>
      </c>
      <c r="E33" s="33" t="s">
        <v>76</v>
      </c>
      <c r="F33" s="33" t="s">
        <v>77</v>
      </c>
      <c r="G33" s="33" t="s">
        <v>55</v>
      </c>
      <c r="H33" s="36" t="s">
        <v>56</v>
      </c>
      <c r="I33" s="36" t="s">
        <v>57</v>
      </c>
    </row>
    <row r="34" spans="1:9" x14ac:dyDescent="0.35">
      <c r="A34" s="33">
        <v>1021040024</v>
      </c>
      <c r="B34" s="33">
        <v>0</v>
      </c>
      <c r="C34" s="35">
        <v>46244</v>
      </c>
      <c r="D34" s="33" t="s">
        <v>94</v>
      </c>
      <c r="E34" s="33" t="s">
        <v>76</v>
      </c>
      <c r="F34" s="33" t="s">
        <v>77</v>
      </c>
      <c r="G34" s="33" t="s">
        <v>51</v>
      </c>
      <c r="H34" s="36" t="s">
        <v>52</v>
      </c>
      <c r="I34" s="36" t="s">
        <v>53</v>
      </c>
    </row>
    <row r="35" spans="1:9" x14ac:dyDescent="0.35">
      <c r="A35" s="33">
        <v>1021040024</v>
      </c>
      <c r="B35" s="33">
        <v>0</v>
      </c>
      <c r="C35" s="35">
        <v>46245</v>
      </c>
      <c r="D35" s="33" t="s">
        <v>95</v>
      </c>
      <c r="E35" s="33" t="s">
        <v>76</v>
      </c>
      <c r="F35" s="33" t="s">
        <v>77</v>
      </c>
      <c r="G35" s="33" t="s">
        <v>55</v>
      </c>
      <c r="H35" s="36" t="s">
        <v>56</v>
      </c>
      <c r="I35" s="36" t="s">
        <v>57</v>
      </c>
    </row>
    <row r="36" spans="1:9" x14ac:dyDescent="0.35">
      <c r="A36" s="33">
        <v>1021040024</v>
      </c>
      <c r="B36" s="33">
        <v>0</v>
      </c>
      <c r="C36" s="35">
        <v>46245</v>
      </c>
      <c r="D36" s="33" t="s">
        <v>96</v>
      </c>
      <c r="E36" s="33" t="s">
        <v>76</v>
      </c>
      <c r="F36" s="33" t="s">
        <v>77</v>
      </c>
      <c r="G36" s="33" t="s">
        <v>51</v>
      </c>
      <c r="H36" s="36" t="s">
        <v>52</v>
      </c>
      <c r="I36" s="36" t="s">
        <v>53</v>
      </c>
    </row>
    <row r="37" spans="1:9" x14ac:dyDescent="0.35">
      <c r="A37" s="33">
        <v>1021040024</v>
      </c>
      <c r="B37" s="33">
        <v>0</v>
      </c>
      <c r="C37" s="35">
        <v>46246</v>
      </c>
      <c r="D37" s="33" t="s">
        <v>97</v>
      </c>
      <c r="E37" s="33" t="s">
        <v>76</v>
      </c>
      <c r="F37" s="33" t="s">
        <v>77</v>
      </c>
      <c r="G37" s="33" t="s">
        <v>55</v>
      </c>
      <c r="H37" s="36" t="s">
        <v>56</v>
      </c>
      <c r="I37" s="36" t="s">
        <v>57</v>
      </c>
    </row>
    <row r="38" spans="1:9" x14ac:dyDescent="0.35">
      <c r="A38" s="33">
        <v>1021040024</v>
      </c>
      <c r="B38" s="33">
        <v>0</v>
      </c>
      <c r="C38" s="35">
        <v>46246</v>
      </c>
      <c r="D38" s="33" t="s">
        <v>98</v>
      </c>
      <c r="E38" s="33" t="s">
        <v>76</v>
      </c>
      <c r="F38" s="33" t="s">
        <v>77</v>
      </c>
      <c r="G38" s="33" t="s">
        <v>51</v>
      </c>
      <c r="H38" s="36" t="s">
        <v>52</v>
      </c>
      <c r="I38" s="36" t="s">
        <v>53</v>
      </c>
    </row>
    <row r="39" spans="1:9" x14ac:dyDescent="0.35">
      <c r="A39" s="33">
        <v>1021040024</v>
      </c>
      <c r="B39" s="33">
        <v>0</v>
      </c>
      <c r="C39" s="35">
        <v>46247</v>
      </c>
      <c r="D39" s="33" t="s">
        <v>99</v>
      </c>
      <c r="E39" s="33" t="s">
        <v>76</v>
      </c>
      <c r="F39" s="33" t="s">
        <v>77</v>
      </c>
      <c r="G39" s="33" t="s">
        <v>55</v>
      </c>
      <c r="H39" s="36" t="s">
        <v>56</v>
      </c>
      <c r="I39" s="36" t="s">
        <v>57</v>
      </c>
    </row>
    <row r="40" spans="1:9" x14ac:dyDescent="0.35">
      <c r="A40" s="33">
        <v>1021040024</v>
      </c>
      <c r="B40" s="33">
        <v>0</v>
      </c>
      <c r="C40" s="35">
        <v>46248</v>
      </c>
      <c r="D40" s="33" t="s">
        <v>100</v>
      </c>
      <c r="E40" s="33" t="s">
        <v>76</v>
      </c>
      <c r="F40" s="33" t="s">
        <v>77</v>
      </c>
      <c r="G40" s="33" t="s">
        <v>51</v>
      </c>
      <c r="H40" s="36" t="s">
        <v>52</v>
      </c>
      <c r="I40" s="36" t="s">
        <v>53</v>
      </c>
    </row>
    <row r="41" spans="1:9" x14ac:dyDescent="0.35">
      <c r="A41" s="33">
        <v>1021040024</v>
      </c>
      <c r="B41" s="33">
        <v>0</v>
      </c>
      <c r="C41" s="35">
        <v>46248</v>
      </c>
      <c r="D41" s="33" t="s">
        <v>101</v>
      </c>
      <c r="E41" s="33" t="s">
        <v>76</v>
      </c>
      <c r="F41" s="33" t="s">
        <v>77</v>
      </c>
      <c r="G41" s="33" t="s">
        <v>55</v>
      </c>
      <c r="H41" s="36" t="s">
        <v>56</v>
      </c>
      <c r="I41" s="36" t="s">
        <v>57</v>
      </c>
    </row>
    <row r="42" spans="1:9" x14ac:dyDescent="0.35">
      <c r="A42" s="33">
        <v>1021040024</v>
      </c>
      <c r="B42" s="33">
        <v>0</v>
      </c>
      <c r="C42" s="35">
        <v>46249</v>
      </c>
      <c r="D42" s="33" t="s">
        <v>102</v>
      </c>
      <c r="E42" s="33" t="s">
        <v>76</v>
      </c>
      <c r="F42" s="33" t="s">
        <v>77</v>
      </c>
      <c r="G42" s="33" t="s">
        <v>51</v>
      </c>
      <c r="H42" s="36" t="s">
        <v>52</v>
      </c>
      <c r="I42" s="36" t="s">
        <v>53</v>
      </c>
    </row>
    <row r="43" spans="1:9" x14ac:dyDescent="0.35">
      <c r="A43" s="33">
        <v>1021040024</v>
      </c>
      <c r="B43" s="33">
        <v>0</v>
      </c>
      <c r="C43" s="35">
        <v>46249</v>
      </c>
      <c r="D43" s="33" t="s">
        <v>103</v>
      </c>
      <c r="E43" s="33" t="s">
        <v>76</v>
      </c>
      <c r="F43" s="33" t="s">
        <v>77</v>
      </c>
      <c r="G43" s="33" t="s">
        <v>55</v>
      </c>
      <c r="H43" s="36" t="s">
        <v>56</v>
      </c>
      <c r="I43" s="36" t="s">
        <v>57</v>
      </c>
    </row>
    <row r="44" spans="1:9" x14ac:dyDescent="0.35">
      <c r="A44" s="33">
        <v>1021040024</v>
      </c>
      <c r="B44" s="33">
        <v>0</v>
      </c>
      <c r="C44" s="35">
        <v>46250</v>
      </c>
      <c r="D44" s="33" t="s">
        <v>104</v>
      </c>
      <c r="E44" s="33" t="s">
        <v>76</v>
      </c>
      <c r="F44" s="33" t="s">
        <v>77</v>
      </c>
      <c r="G44" s="33" t="s">
        <v>51</v>
      </c>
      <c r="H44" s="36" t="s">
        <v>52</v>
      </c>
      <c r="I44" s="36" t="s">
        <v>53</v>
      </c>
    </row>
    <row r="45" spans="1:9" x14ac:dyDescent="0.35">
      <c r="A45" s="33">
        <v>1021040024</v>
      </c>
      <c r="B45" s="33">
        <v>0</v>
      </c>
      <c r="C45" s="35">
        <v>46250</v>
      </c>
      <c r="D45" s="33" t="s">
        <v>105</v>
      </c>
      <c r="E45" s="33" t="s">
        <v>76</v>
      </c>
      <c r="F45" s="33" t="s">
        <v>77</v>
      </c>
      <c r="G45" s="33" t="s">
        <v>55</v>
      </c>
      <c r="H45" s="36" t="s">
        <v>56</v>
      </c>
      <c r="I45" s="36" t="s">
        <v>57</v>
      </c>
    </row>
    <row r="46" spans="1:9" x14ac:dyDescent="0.35">
      <c r="A46" s="33">
        <v>1021040024</v>
      </c>
      <c r="B46" s="33">
        <v>0</v>
      </c>
      <c r="C46" s="35">
        <v>46252</v>
      </c>
      <c r="D46" s="33" t="s">
        <v>106</v>
      </c>
      <c r="E46" s="33" t="s">
        <v>76</v>
      </c>
      <c r="F46" s="33" t="s">
        <v>77</v>
      </c>
      <c r="G46" s="33" t="s">
        <v>51</v>
      </c>
      <c r="H46" s="36" t="s">
        <v>52</v>
      </c>
      <c r="I46" s="36" t="s">
        <v>53</v>
      </c>
    </row>
    <row r="47" spans="1:9" x14ac:dyDescent="0.35">
      <c r="A47" s="33">
        <v>1021040024</v>
      </c>
      <c r="B47" s="33">
        <v>0</v>
      </c>
      <c r="C47" s="35">
        <v>46252</v>
      </c>
      <c r="D47" s="33" t="s">
        <v>107</v>
      </c>
      <c r="E47" s="33" t="s">
        <v>76</v>
      </c>
      <c r="F47" s="33" t="s">
        <v>77</v>
      </c>
      <c r="G47" s="33" t="s">
        <v>55</v>
      </c>
      <c r="H47" s="36" t="s">
        <v>56</v>
      </c>
      <c r="I47" s="36" t="s">
        <v>57</v>
      </c>
    </row>
    <row r="48" spans="1:9" x14ac:dyDescent="0.35">
      <c r="A48" s="33">
        <v>1021040024</v>
      </c>
      <c r="B48" s="33">
        <v>0</v>
      </c>
      <c r="C48" s="35">
        <v>46253</v>
      </c>
      <c r="D48" s="33" t="s">
        <v>108</v>
      </c>
      <c r="E48" s="33" t="s">
        <v>76</v>
      </c>
      <c r="F48" s="33" t="s">
        <v>77</v>
      </c>
      <c r="G48" s="33" t="s">
        <v>51</v>
      </c>
      <c r="H48" s="36" t="s">
        <v>52</v>
      </c>
      <c r="I48" s="36" t="s">
        <v>53</v>
      </c>
    </row>
    <row r="49" spans="1:9" x14ac:dyDescent="0.35">
      <c r="A49" s="33">
        <v>1021040024</v>
      </c>
      <c r="B49" s="33">
        <v>0</v>
      </c>
      <c r="C49" s="35">
        <v>46253</v>
      </c>
      <c r="D49" s="33" t="s">
        <v>89</v>
      </c>
      <c r="E49" s="33" t="s">
        <v>76</v>
      </c>
      <c r="F49" s="33" t="s">
        <v>77</v>
      </c>
      <c r="G49" s="33" t="s">
        <v>55</v>
      </c>
      <c r="H49" s="36" t="s">
        <v>56</v>
      </c>
      <c r="I49" s="36" t="s">
        <v>57</v>
      </c>
    </row>
    <row r="50" spans="1:9" x14ac:dyDescent="0.35">
      <c r="A50" s="33">
        <v>1021040024</v>
      </c>
      <c r="B50" s="33">
        <v>0</v>
      </c>
      <c r="C50" s="35">
        <v>46254</v>
      </c>
      <c r="D50" s="33" t="s">
        <v>109</v>
      </c>
      <c r="E50" s="33" t="s">
        <v>76</v>
      </c>
      <c r="F50" s="33" t="s">
        <v>77</v>
      </c>
      <c r="G50" s="33" t="s">
        <v>51</v>
      </c>
      <c r="H50" s="36" t="s">
        <v>52</v>
      </c>
      <c r="I50" s="36" t="s">
        <v>53</v>
      </c>
    </row>
    <row r="51" spans="1:9" x14ac:dyDescent="0.35">
      <c r="A51" s="33">
        <v>1021040024</v>
      </c>
      <c r="B51" s="33">
        <v>0</v>
      </c>
      <c r="C51" s="35">
        <v>46254</v>
      </c>
      <c r="D51" s="33" t="s">
        <v>110</v>
      </c>
      <c r="E51" s="33" t="s">
        <v>76</v>
      </c>
      <c r="F51" s="33" t="s">
        <v>77</v>
      </c>
      <c r="G51" s="33" t="s">
        <v>55</v>
      </c>
      <c r="H51" s="36" t="s">
        <v>56</v>
      </c>
      <c r="I51" s="36" t="s">
        <v>57</v>
      </c>
    </row>
    <row r="52" spans="1:9" x14ac:dyDescent="0.35">
      <c r="A52" s="33">
        <v>1021040024</v>
      </c>
      <c r="B52" s="33">
        <v>0</v>
      </c>
      <c r="C52" s="35">
        <v>46255</v>
      </c>
      <c r="D52" s="33" t="s">
        <v>111</v>
      </c>
      <c r="E52" s="33" t="s">
        <v>76</v>
      </c>
      <c r="F52" s="33" t="s">
        <v>77</v>
      </c>
      <c r="G52" s="33" t="s">
        <v>51</v>
      </c>
      <c r="H52" s="36" t="s">
        <v>52</v>
      </c>
      <c r="I52" s="36" t="s">
        <v>53</v>
      </c>
    </row>
    <row r="53" spans="1:9" x14ac:dyDescent="0.35">
      <c r="A53" s="33">
        <v>1021040024</v>
      </c>
      <c r="B53" s="33">
        <v>0</v>
      </c>
      <c r="C53" s="35">
        <v>46255</v>
      </c>
      <c r="D53" s="33" t="s">
        <v>101</v>
      </c>
      <c r="E53" s="33" t="s">
        <v>76</v>
      </c>
      <c r="F53" s="33" t="s">
        <v>77</v>
      </c>
      <c r="G53" s="33" t="s">
        <v>55</v>
      </c>
      <c r="H53" s="36" t="s">
        <v>56</v>
      </c>
      <c r="I53" s="36" t="s">
        <v>57</v>
      </c>
    </row>
    <row r="54" spans="1:9" x14ac:dyDescent="0.35">
      <c r="A54" s="33">
        <v>1021040024</v>
      </c>
      <c r="B54" s="33">
        <v>0</v>
      </c>
      <c r="C54" s="35">
        <v>46256</v>
      </c>
      <c r="D54" s="33" t="s">
        <v>108</v>
      </c>
      <c r="E54" s="33" t="s">
        <v>76</v>
      </c>
      <c r="F54" s="33" t="s">
        <v>77</v>
      </c>
      <c r="G54" s="33" t="s">
        <v>51</v>
      </c>
      <c r="H54" s="36" t="s">
        <v>52</v>
      </c>
      <c r="I54" s="36" t="s">
        <v>53</v>
      </c>
    </row>
    <row r="55" spans="1:9" x14ac:dyDescent="0.35">
      <c r="A55" s="33">
        <v>1021040024</v>
      </c>
      <c r="B55" s="33">
        <v>0</v>
      </c>
      <c r="C55" s="35">
        <v>46256</v>
      </c>
      <c r="D55" s="33" t="s">
        <v>107</v>
      </c>
      <c r="E55" s="33" t="s">
        <v>76</v>
      </c>
      <c r="F55" s="33" t="s">
        <v>77</v>
      </c>
      <c r="G55" s="33" t="s">
        <v>55</v>
      </c>
      <c r="H55" s="36" t="s">
        <v>56</v>
      </c>
      <c r="I55" s="36" t="s">
        <v>57</v>
      </c>
    </row>
    <row r="56" spans="1:9" x14ac:dyDescent="0.35">
      <c r="A56" s="33">
        <v>1021040024</v>
      </c>
      <c r="B56" s="33">
        <v>0</v>
      </c>
      <c r="C56" s="35">
        <v>46261</v>
      </c>
      <c r="D56" s="33" t="s">
        <v>112</v>
      </c>
      <c r="E56" s="33" t="s">
        <v>113</v>
      </c>
      <c r="F56" s="33" t="s">
        <v>114</v>
      </c>
      <c r="G56" s="33" t="s">
        <v>51</v>
      </c>
      <c r="H56" s="36" t="s">
        <v>52</v>
      </c>
      <c r="I56" s="36" t="s">
        <v>53</v>
      </c>
    </row>
    <row r="57" spans="1:9" x14ac:dyDescent="0.35">
      <c r="A57" s="33">
        <v>1021040024</v>
      </c>
      <c r="B57" s="33">
        <v>0</v>
      </c>
      <c r="C57" s="35">
        <v>46261</v>
      </c>
      <c r="D57" s="33" t="s">
        <v>103</v>
      </c>
      <c r="E57" s="33" t="s">
        <v>113</v>
      </c>
      <c r="F57" s="33" t="s">
        <v>114</v>
      </c>
      <c r="G57" s="33" t="s">
        <v>55</v>
      </c>
      <c r="H57" s="36" t="s">
        <v>56</v>
      </c>
      <c r="I57" s="36" t="s">
        <v>57</v>
      </c>
    </row>
    <row r="58" spans="1:9" x14ac:dyDescent="0.35">
      <c r="A58" s="33">
        <v>1021040024</v>
      </c>
      <c r="B58" s="33">
        <v>0</v>
      </c>
      <c r="C58" s="35">
        <v>46262</v>
      </c>
      <c r="D58" s="33" t="s">
        <v>115</v>
      </c>
      <c r="E58" s="33" t="s">
        <v>113</v>
      </c>
      <c r="F58" s="33" t="s">
        <v>114</v>
      </c>
      <c r="G58" s="33" t="s">
        <v>51</v>
      </c>
      <c r="H58" s="36" t="s">
        <v>52</v>
      </c>
      <c r="I58" s="36" t="s">
        <v>53</v>
      </c>
    </row>
    <row r="59" spans="1:9" x14ac:dyDescent="0.35">
      <c r="A59" s="33">
        <v>1021040024</v>
      </c>
      <c r="B59" s="33">
        <v>0</v>
      </c>
      <c r="C59" s="35">
        <v>46262</v>
      </c>
      <c r="D59" s="33" t="s">
        <v>116</v>
      </c>
      <c r="E59" s="33" t="s">
        <v>113</v>
      </c>
      <c r="F59" s="33" t="s">
        <v>114</v>
      </c>
      <c r="G59" s="33" t="s">
        <v>55</v>
      </c>
      <c r="H59" s="36" t="s">
        <v>56</v>
      </c>
      <c r="I59" s="36" t="s">
        <v>57</v>
      </c>
    </row>
    <row r="60" spans="1:9" x14ac:dyDescent="0.35">
      <c r="A60" s="33">
        <v>1021040024</v>
      </c>
      <c r="B60" s="33">
        <v>0</v>
      </c>
      <c r="C60" s="35">
        <v>46263</v>
      </c>
      <c r="D60" s="33" t="s">
        <v>117</v>
      </c>
      <c r="E60" s="33" t="s">
        <v>76</v>
      </c>
      <c r="F60" s="33" t="s">
        <v>77</v>
      </c>
      <c r="G60" s="33" t="s">
        <v>51</v>
      </c>
      <c r="H60" s="36" t="s">
        <v>52</v>
      </c>
      <c r="I60" s="36" t="s">
        <v>53</v>
      </c>
    </row>
    <row r="61" spans="1:9" x14ac:dyDescent="0.35">
      <c r="A61" s="33">
        <v>1021040024</v>
      </c>
      <c r="B61" s="33">
        <v>0</v>
      </c>
      <c r="C61" s="35">
        <v>46263</v>
      </c>
      <c r="D61" s="33" t="s">
        <v>118</v>
      </c>
      <c r="E61" s="33" t="s">
        <v>76</v>
      </c>
      <c r="F61" s="33" t="s">
        <v>77</v>
      </c>
      <c r="G61" s="33" t="s">
        <v>55</v>
      </c>
      <c r="H61" s="36" t="s">
        <v>56</v>
      </c>
      <c r="I61" s="36" t="s">
        <v>57</v>
      </c>
    </row>
    <row r="62" spans="1:9" x14ac:dyDescent="0.35">
      <c r="A62" s="33">
        <v>1021040024</v>
      </c>
      <c r="B62" s="33">
        <v>0</v>
      </c>
      <c r="C62" s="35">
        <v>46264</v>
      </c>
      <c r="D62" s="33" t="s">
        <v>80</v>
      </c>
      <c r="E62" s="33" t="s">
        <v>76</v>
      </c>
      <c r="F62" s="33" t="s">
        <v>77</v>
      </c>
      <c r="G62" s="33" t="s">
        <v>51</v>
      </c>
      <c r="H62" s="36" t="s">
        <v>52</v>
      </c>
      <c r="I62" s="36" t="s">
        <v>53</v>
      </c>
    </row>
    <row r="63" spans="1:9" x14ac:dyDescent="0.35">
      <c r="A63" s="33">
        <v>1021040024</v>
      </c>
      <c r="B63" s="33">
        <v>0</v>
      </c>
      <c r="C63" s="35">
        <v>46264</v>
      </c>
      <c r="D63" s="33" t="s">
        <v>119</v>
      </c>
      <c r="E63" s="33" t="s">
        <v>76</v>
      </c>
      <c r="F63" s="33" t="s">
        <v>77</v>
      </c>
      <c r="G63" s="33" t="s">
        <v>55</v>
      </c>
      <c r="H63" s="36" t="s">
        <v>56</v>
      </c>
      <c r="I63" s="36" t="s">
        <v>57</v>
      </c>
    </row>
    <row r="64" spans="1:9" x14ac:dyDescent="0.35">
      <c r="A64" s="33">
        <v>1021040024</v>
      </c>
      <c r="B64" s="33">
        <v>0</v>
      </c>
      <c r="C64" s="35">
        <v>46265</v>
      </c>
      <c r="D64" s="33" t="s">
        <v>120</v>
      </c>
      <c r="E64" s="33" t="s">
        <v>76</v>
      </c>
      <c r="F64" s="33" t="s">
        <v>77</v>
      </c>
      <c r="G64" s="33" t="s">
        <v>51</v>
      </c>
      <c r="H64" s="36" t="s">
        <v>52</v>
      </c>
      <c r="I64" s="36" t="s">
        <v>53</v>
      </c>
    </row>
    <row r="65" spans="1:9" x14ac:dyDescent="0.35">
      <c r="A65" s="33">
        <v>1021040024</v>
      </c>
      <c r="B65" s="33">
        <v>0</v>
      </c>
      <c r="C65" s="35">
        <v>46265</v>
      </c>
      <c r="D65" s="33" t="s">
        <v>121</v>
      </c>
      <c r="E65" s="33" t="s">
        <v>76</v>
      </c>
      <c r="F65" s="33" t="s">
        <v>77</v>
      </c>
      <c r="G65" s="33" t="s">
        <v>55</v>
      </c>
      <c r="H65" s="36" t="s">
        <v>56</v>
      </c>
      <c r="I65" s="36" t="s">
        <v>57</v>
      </c>
    </row>
    <row r="66" spans="1:9" x14ac:dyDescent="0.35">
      <c r="A66" s="33">
        <v>1021040024</v>
      </c>
      <c r="B66" s="33">
        <v>0</v>
      </c>
      <c r="C66" s="35">
        <v>46266</v>
      </c>
      <c r="D66" s="33" t="s">
        <v>122</v>
      </c>
      <c r="E66" s="33" t="s">
        <v>76</v>
      </c>
      <c r="F66" s="33" t="s">
        <v>77</v>
      </c>
      <c r="G66" s="33" t="s">
        <v>51</v>
      </c>
      <c r="H66" s="36" t="s">
        <v>52</v>
      </c>
      <c r="I66" s="36" t="s">
        <v>53</v>
      </c>
    </row>
    <row r="67" spans="1:9" x14ac:dyDescent="0.35">
      <c r="A67" s="33">
        <v>102111001</v>
      </c>
      <c r="B67" s="33" t="s">
        <v>3</v>
      </c>
      <c r="C67" s="35">
        <v>46235</v>
      </c>
      <c r="D67" s="33" t="s">
        <v>123</v>
      </c>
      <c r="E67" s="33" t="s">
        <v>69</v>
      </c>
      <c r="F67" s="33" t="s">
        <v>70</v>
      </c>
      <c r="G67" s="33" t="s">
        <v>51</v>
      </c>
      <c r="H67" s="36" t="s">
        <v>52</v>
      </c>
      <c r="I67" s="36" t="s">
        <v>53</v>
      </c>
    </row>
    <row r="68" spans="1:9" x14ac:dyDescent="0.35">
      <c r="A68" s="33">
        <v>102111001</v>
      </c>
      <c r="B68" s="33" t="s">
        <v>3</v>
      </c>
      <c r="C68" s="35">
        <v>46235</v>
      </c>
      <c r="D68" s="33" t="s">
        <v>124</v>
      </c>
      <c r="E68" s="33" t="s">
        <v>73</v>
      </c>
      <c r="F68" s="33" t="s">
        <v>74</v>
      </c>
      <c r="G68" s="33" t="s">
        <v>55</v>
      </c>
      <c r="H68" s="36" t="s">
        <v>56</v>
      </c>
      <c r="I68" s="36" t="s">
        <v>57</v>
      </c>
    </row>
    <row r="69" spans="1:9" x14ac:dyDescent="0.35">
      <c r="A69" s="33">
        <v>102111001</v>
      </c>
      <c r="B69" s="33" t="s">
        <v>3</v>
      </c>
      <c r="C69" s="35">
        <v>46236</v>
      </c>
      <c r="D69" s="33" t="s">
        <v>125</v>
      </c>
      <c r="E69" s="33" t="s">
        <v>69</v>
      </c>
      <c r="F69" s="33" t="s">
        <v>70</v>
      </c>
      <c r="G69" s="33" t="s">
        <v>51</v>
      </c>
      <c r="H69" s="36" t="s">
        <v>52</v>
      </c>
      <c r="I69" s="36" t="s">
        <v>53</v>
      </c>
    </row>
    <row r="70" spans="1:9" x14ac:dyDescent="0.35">
      <c r="A70" s="33">
        <v>102111001</v>
      </c>
      <c r="B70" s="33" t="s">
        <v>3</v>
      </c>
      <c r="C70" s="35">
        <v>46236</v>
      </c>
      <c r="D70" s="33" t="s">
        <v>126</v>
      </c>
      <c r="E70" s="33" t="s">
        <v>73</v>
      </c>
      <c r="F70" s="33" t="s">
        <v>74</v>
      </c>
      <c r="G70" s="33" t="s">
        <v>55</v>
      </c>
      <c r="H70" s="36" t="s">
        <v>56</v>
      </c>
      <c r="I70" s="36" t="s">
        <v>57</v>
      </c>
    </row>
    <row r="71" spans="1:9" x14ac:dyDescent="0.35">
      <c r="A71" s="33">
        <v>102111001</v>
      </c>
      <c r="B71" s="33" t="s">
        <v>3</v>
      </c>
      <c r="C71" s="35">
        <v>46237</v>
      </c>
      <c r="D71" s="33" t="s">
        <v>127</v>
      </c>
      <c r="E71" s="33" t="s">
        <v>69</v>
      </c>
      <c r="F71" s="33" t="s">
        <v>70</v>
      </c>
      <c r="G71" s="33" t="s">
        <v>51</v>
      </c>
      <c r="H71" s="36" t="s">
        <v>52</v>
      </c>
      <c r="I71" s="36" t="s">
        <v>53</v>
      </c>
    </row>
    <row r="72" spans="1:9" x14ac:dyDescent="0.35">
      <c r="A72" s="33">
        <v>102111001</v>
      </c>
      <c r="B72" s="33" t="s">
        <v>3</v>
      </c>
      <c r="C72" s="35">
        <v>46237</v>
      </c>
      <c r="D72" s="33" t="s">
        <v>128</v>
      </c>
      <c r="E72" s="33" t="s">
        <v>73</v>
      </c>
      <c r="F72" s="33" t="s">
        <v>74</v>
      </c>
      <c r="G72" s="33" t="s">
        <v>55</v>
      </c>
      <c r="H72" s="36" t="s">
        <v>56</v>
      </c>
      <c r="I72" s="36" t="s">
        <v>57</v>
      </c>
    </row>
    <row r="73" spans="1:9" x14ac:dyDescent="0.35">
      <c r="A73" s="33">
        <v>102111001</v>
      </c>
      <c r="B73" s="33" t="s">
        <v>3</v>
      </c>
      <c r="C73" s="35">
        <v>46238</v>
      </c>
      <c r="D73" s="33" t="s">
        <v>129</v>
      </c>
      <c r="E73" s="33" t="s">
        <v>73</v>
      </c>
      <c r="F73" s="33" t="s">
        <v>74</v>
      </c>
      <c r="G73" s="33" t="s">
        <v>51</v>
      </c>
      <c r="H73" s="36" t="s">
        <v>52</v>
      </c>
      <c r="I73" s="36" t="s">
        <v>53</v>
      </c>
    </row>
    <row r="74" spans="1:9" x14ac:dyDescent="0.35">
      <c r="A74" s="33">
        <v>102111001</v>
      </c>
      <c r="B74" s="33" t="s">
        <v>3</v>
      </c>
      <c r="C74" s="35">
        <v>46238</v>
      </c>
      <c r="D74" s="33" t="s">
        <v>130</v>
      </c>
      <c r="E74" s="33" t="s">
        <v>73</v>
      </c>
      <c r="F74" s="33" t="s">
        <v>74</v>
      </c>
      <c r="G74" s="33" t="s">
        <v>55</v>
      </c>
      <c r="H74" s="36" t="s">
        <v>56</v>
      </c>
      <c r="I74" s="36" t="s">
        <v>57</v>
      </c>
    </row>
    <row r="75" spans="1:9" x14ac:dyDescent="0.35">
      <c r="A75" s="33">
        <v>102111001</v>
      </c>
      <c r="B75" s="33" t="s">
        <v>3</v>
      </c>
      <c r="C75" s="35">
        <v>46239</v>
      </c>
      <c r="D75" s="33" t="s">
        <v>131</v>
      </c>
      <c r="E75" s="33" t="s">
        <v>69</v>
      </c>
      <c r="F75" s="33" t="s">
        <v>70</v>
      </c>
      <c r="G75" s="33" t="s">
        <v>51</v>
      </c>
      <c r="H75" s="36" t="s">
        <v>52</v>
      </c>
      <c r="I75" s="36" t="s">
        <v>53</v>
      </c>
    </row>
    <row r="76" spans="1:9" x14ac:dyDescent="0.35">
      <c r="A76" s="33">
        <v>102111001</v>
      </c>
      <c r="B76" s="33" t="s">
        <v>3</v>
      </c>
      <c r="C76" s="35">
        <v>46239</v>
      </c>
      <c r="D76" s="33" t="s">
        <v>132</v>
      </c>
      <c r="E76" s="33" t="s">
        <v>73</v>
      </c>
      <c r="F76" s="33" t="s">
        <v>74</v>
      </c>
      <c r="G76" s="33" t="s">
        <v>55</v>
      </c>
      <c r="H76" s="36" t="s">
        <v>56</v>
      </c>
      <c r="I76" s="36" t="s">
        <v>57</v>
      </c>
    </row>
    <row r="77" spans="1:9" x14ac:dyDescent="0.35">
      <c r="A77" s="33">
        <v>102111001</v>
      </c>
      <c r="B77" s="33" t="s">
        <v>3</v>
      </c>
      <c r="C77" s="35">
        <v>46240</v>
      </c>
      <c r="D77" s="33" t="s">
        <v>133</v>
      </c>
      <c r="E77" s="33" t="s">
        <v>69</v>
      </c>
      <c r="F77" s="33" t="s">
        <v>70</v>
      </c>
      <c r="G77" s="33" t="s">
        <v>51</v>
      </c>
      <c r="H77" s="36" t="s">
        <v>52</v>
      </c>
      <c r="I77" s="36" t="s">
        <v>53</v>
      </c>
    </row>
    <row r="78" spans="1:9" x14ac:dyDescent="0.35">
      <c r="A78" s="33">
        <v>102111001</v>
      </c>
      <c r="B78" s="33" t="s">
        <v>3</v>
      </c>
      <c r="C78" s="35">
        <v>46240</v>
      </c>
      <c r="D78" s="33" t="s">
        <v>134</v>
      </c>
      <c r="E78" s="33" t="s">
        <v>73</v>
      </c>
      <c r="F78" s="33" t="s">
        <v>74</v>
      </c>
      <c r="G78" s="33" t="s">
        <v>55</v>
      </c>
      <c r="H78" s="36" t="s">
        <v>56</v>
      </c>
      <c r="I78" s="36" t="s">
        <v>57</v>
      </c>
    </row>
    <row r="79" spans="1:9" x14ac:dyDescent="0.35">
      <c r="A79" s="33">
        <v>102111001</v>
      </c>
      <c r="B79" s="33" t="s">
        <v>3</v>
      </c>
      <c r="C79" s="35">
        <v>46242</v>
      </c>
      <c r="D79" s="33" t="s">
        <v>135</v>
      </c>
      <c r="E79" s="33" t="s">
        <v>69</v>
      </c>
      <c r="F79" s="33" t="s">
        <v>70</v>
      </c>
      <c r="G79" s="33" t="s">
        <v>51</v>
      </c>
      <c r="H79" s="36" t="s">
        <v>52</v>
      </c>
      <c r="I79" s="36" t="s">
        <v>53</v>
      </c>
    </row>
    <row r="80" spans="1:9" x14ac:dyDescent="0.35">
      <c r="A80" s="33">
        <v>102111001</v>
      </c>
      <c r="B80" s="33" t="s">
        <v>3</v>
      </c>
      <c r="C80" s="35">
        <v>46242</v>
      </c>
      <c r="D80" s="33" t="s">
        <v>136</v>
      </c>
      <c r="E80" s="33" t="s">
        <v>73</v>
      </c>
      <c r="F80" s="33" t="s">
        <v>74</v>
      </c>
      <c r="G80" s="33" t="s">
        <v>55</v>
      </c>
      <c r="H80" s="36" t="s">
        <v>56</v>
      </c>
      <c r="I80" s="36" t="s">
        <v>57</v>
      </c>
    </row>
    <row r="81" spans="1:9" x14ac:dyDescent="0.35">
      <c r="A81" s="33">
        <v>102111001</v>
      </c>
      <c r="B81" s="33" t="s">
        <v>3</v>
      </c>
      <c r="C81" s="35">
        <v>46243</v>
      </c>
      <c r="D81" s="33" t="s">
        <v>137</v>
      </c>
      <c r="E81" s="33" t="s">
        <v>69</v>
      </c>
      <c r="F81" s="33" t="s">
        <v>70</v>
      </c>
      <c r="G81" s="33" t="s">
        <v>51</v>
      </c>
      <c r="H81" s="36" t="s">
        <v>52</v>
      </c>
      <c r="I81" s="36" t="s">
        <v>53</v>
      </c>
    </row>
    <row r="82" spans="1:9" x14ac:dyDescent="0.35">
      <c r="A82" s="33">
        <v>102111001</v>
      </c>
      <c r="B82" s="33" t="s">
        <v>3</v>
      </c>
      <c r="C82" s="35">
        <v>46243</v>
      </c>
      <c r="D82" s="33" t="s">
        <v>138</v>
      </c>
      <c r="E82" s="33" t="s">
        <v>73</v>
      </c>
      <c r="F82" s="33" t="s">
        <v>74</v>
      </c>
      <c r="G82" s="33" t="s">
        <v>55</v>
      </c>
      <c r="H82" s="36" t="s">
        <v>56</v>
      </c>
      <c r="I82" s="36" t="s">
        <v>57</v>
      </c>
    </row>
    <row r="83" spans="1:9" x14ac:dyDescent="0.35">
      <c r="A83" s="33">
        <v>102111001</v>
      </c>
      <c r="B83" s="33" t="s">
        <v>3</v>
      </c>
      <c r="C83" s="35">
        <v>46244</v>
      </c>
      <c r="D83" s="33" t="s">
        <v>139</v>
      </c>
      <c r="E83" s="33" t="s">
        <v>73</v>
      </c>
      <c r="F83" s="33" t="s">
        <v>74</v>
      </c>
      <c r="G83" s="33" t="s">
        <v>51</v>
      </c>
      <c r="H83" s="36" t="s">
        <v>52</v>
      </c>
      <c r="I83" s="36" t="s">
        <v>53</v>
      </c>
    </row>
    <row r="84" spans="1:9" x14ac:dyDescent="0.35">
      <c r="A84" s="33">
        <v>102111001</v>
      </c>
      <c r="B84" s="33" t="s">
        <v>3</v>
      </c>
      <c r="C84" s="35">
        <v>46244</v>
      </c>
      <c r="D84" s="33" t="s">
        <v>140</v>
      </c>
      <c r="E84" s="33" t="s">
        <v>141</v>
      </c>
      <c r="F84" s="33" t="s">
        <v>142</v>
      </c>
      <c r="G84" s="33" t="s">
        <v>55</v>
      </c>
      <c r="H84" s="36" t="s">
        <v>56</v>
      </c>
      <c r="I84" s="36" t="s">
        <v>57</v>
      </c>
    </row>
    <row r="85" spans="1:9" x14ac:dyDescent="0.35">
      <c r="A85" s="33">
        <v>102111001</v>
      </c>
      <c r="B85" s="33" t="s">
        <v>3</v>
      </c>
      <c r="C85" s="35">
        <v>46245</v>
      </c>
      <c r="D85" s="33" t="s">
        <v>143</v>
      </c>
      <c r="E85" s="33" t="s">
        <v>69</v>
      </c>
      <c r="F85" s="33" t="s">
        <v>70</v>
      </c>
      <c r="G85" s="33" t="s">
        <v>51</v>
      </c>
      <c r="H85" s="36" t="s">
        <v>52</v>
      </c>
      <c r="I85" s="36" t="s">
        <v>53</v>
      </c>
    </row>
    <row r="86" spans="1:9" x14ac:dyDescent="0.35">
      <c r="A86" s="33">
        <v>102111001</v>
      </c>
      <c r="B86" s="33" t="s">
        <v>3</v>
      </c>
      <c r="C86" s="35">
        <v>46245</v>
      </c>
      <c r="D86" s="33" t="s">
        <v>144</v>
      </c>
      <c r="E86" s="33" t="s">
        <v>73</v>
      </c>
      <c r="F86" s="33" t="s">
        <v>74</v>
      </c>
      <c r="G86" s="33" t="s">
        <v>55</v>
      </c>
      <c r="H86" s="36" t="s">
        <v>56</v>
      </c>
      <c r="I86" s="36" t="s">
        <v>57</v>
      </c>
    </row>
    <row r="87" spans="1:9" x14ac:dyDescent="0.35">
      <c r="A87" s="36">
        <v>102111001</v>
      </c>
      <c r="B87" s="33" t="s">
        <v>3</v>
      </c>
      <c r="C87" s="38">
        <v>46246</v>
      </c>
      <c r="D87" s="36" t="s">
        <v>145</v>
      </c>
      <c r="E87" s="36" t="s">
        <v>69</v>
      </c>
      <c r="F87" s="36" t="s">
        <v>70</v>
      </c>
      <c r="G87" s="36" t="s">
        <v>51</v>
      </c>
      <c r="H87" s="36" t="s">
        <v>52</v>
      </c>
      <c r="I87" s="36" t="s">
        <v>53</v>
      </c>
    </row>
    <row r="88" spans="1:9" x14ac:dyDescent="0.35">
      <c r="A88" s="33">
        <v>102111001</v>
      </c>
      <c r="B88" s="33" t="s">
        <v>3</v>
      </c>
      <c r="C88" s="35">
        <v>46246</v>
      </c>
      <c r="D88" s="33" t="s">
        <v>146</v>
      </c>
      <c r="E88" s="33" t="s">
        <v>73</v>
      </c>
      <c r="F88" s="33" t="s">
        <v>74</v>
      </c>
      <c r="G88" s="33" t="s">
        <v>55</v>
      </c>
      <c r="H88" s="36" t="s">
        <v>56</v>
      </c>
      <c r="I88" s="36" t="s">
        <v>57</v>
      </c>
    </row>
    <row r="89" spans="1:9" x14ac:dyDescent="0.35">
      <c r="A89" s="33">
        <v>102111001</v>
      </c>
      <c r="B89" s="33" t="s">
        <v>3</v>
      </c>
      <c r="C89" s="35">
        <v>46247</v>
      </c>
      <c r="D89" s="33" t="s">
        <v>147</v>
      </c>
      <c r="E89" s="33" t="s">
        <v>69</v>
      </c>
      <c r="F89" s="33" t="s">
        <v>70</v>
      </c>
      <c r="G89" s="33" t="s">
        <v>51</v>
      </c>
      <c r="H89" s="36" t="s">
        <v>52</v>
      </c>
      <c r="I89" s="36" t="s">
        <v>53</v>
      </c>
    </row>
    <row r="90" spans="1:9" x14ac:dyDescent="0.35">
      <c r="A90" s="33">
        <v>102111001</v>
      </c>
      <c r="B90" s="33" t="s">
        <v>3</v>
      </c>
      <c r="C90" s="35">
        <v>46247</v>
      </c>
      <c r="D90" s="33" t="s">
        <v>148</v>
      </c>
      <c r="E90" s="33" t="s">
        <v>73</v>
      </c>
      <c r="F90" s="33" t="s">
        <v>74</v>
      </c>
      <c r="G90" s="33" t="s">
        <v>55</v>
      </c>
      <c r="H90" s="36" t="s">
        <v>56</v>
      </c>
      <c r="I90" s="36" t="s">
        <v>57</v>
      </c>
    </row>
    <row r="91" spans="1:9" x14ac:dyDescent="0.35">
      <c r="A91" s="33">
        <v>102111001</v>
      </c>
      <c r="B91" s="33" t="s">
        <v>3</v>
      </c>
      <c r="C91" s="35">
        <v>46248</v>
      </c>
      <c r="D91" s="33" t="s">
        <v>149</v>
      </c>
      <c r="E91" s="33" t="s">
        <v>73</v>
      </c>
      <c r="F91" s="33" t="s">
        <v>74</v>
      </c>
      <c r="G91" s="33" t="s">
        <v>51</v>
      </c>
      <c r="H91" s="36" t="s">
        <v>52</v>
      </c>
      <c r="I91" s="36" t="s">
        <v>53</v>
      </c>
    </row>
    <row r="92" spans="1:9" x14ac:dyDescent="0.35">
      <c r="A92" s="33">
        <v>102111001</v>
      </c>
      <c r="B92" s="33" t="s">
        <v>3</v>
      </c>
      <c r="C92" s="35">
        <v>46248</v>
      </c>
      <c r="D92" s="33" t="s">
        <v>150</v>
      </c>
      <c r="E92" s="33" t="s">
        <v>73</v>
      </c>
      <c r="F92" s="33" t="s">
        <v>74</v>
      </c>
      <c r="G92" s="33" t="s">
        <v>55</v>
      </c>
      <c r="H92" s="36" t="s">
        <v>56</v>
      </c>
      <c r="I92" s="36" t="s">
        <v>57</v>
      </c>
    </row>
    <row r="93" spans="1:9" x14ac:dyDescent="0.35">
      <c r="A93" s="33">
        <v>102111001</v>
      </c>
      <c r="B93" s="33" t="s">
        <v>3</v>
      </c>
      <c r="C93" s="35">
        <v>46249</v>
      </c>
      <c r="D93" s="33" t="s">
        <v>151</v>
      </c>
      <c r="E93" s="33" t="s">
        <v>73</v>
      </c>
      <c r="F93" s="33" t="s">
        <v>74</v>
      </c>
      <c r="G93" s="33" t="s">
        <v>51</v>
      </c>
      <c r="H93" s="36" t="s">
        <v>52</v>
      </c>
      <c r="I93" s="36" t="s">
        <v>53</v>
      </c>
    </row>
    <row r="94" spans="1:9" x14ac:dyDescent="0.35">
      <c r="A94" s="33">
        <v>102111001</v>
      </c>
      <c r="B94" s="33" t="s">
        <v>3</v>
      </c>
      <c r="C94" s="35">
        <v>46249</v>
      </c>
      <c r="D94" s="33" t="s">
        <v>152</v>
      </c>
      <c r="E94" s="33" t="s">
        <v>69</v>
      </c>
      <c r="F94" s="33" t="s">
        <v>70</v>
      </c>
      <c r="G94" s="33" t="s">
        <v>55</v>
      </c>
      <c r="H94" s="36" t="s">
        <v>56</v>
      </c>
      <c r="I94" s="36" t="s">
        <v>57</v>
      </c>
    </row>
    <row r="95" spans="1:9" x14ac:dyDescent="0.35">
      <c r="A95" s="33">
        <v>102111001</v>
      </c>
      <c r="B95" s="33" t="s">
        <v>3</v>
      </c>
      <c r="C95" s="35">
        <v>46250</v>
      </c>
      <c r="D95" s="33" t="s">
        <v>153</v>
      </c>
      <c r="E95" s="33" t="s">
        <v>69</v>
      </c>
      <c r="F95" s="33" t="s">
        <v>70</v>
      </c>
      <c r="G95" s="33" t="s">
        <v>51</v>
      </c>
      <c r="H95" s="36" t="s">
        <v>52</v>
      </c>
      <c r="I95" s="36" t="s">
        <v>53</v>
      </c>
    </row>
    <row r="96" spans="1:9" x14ac:dyDescent="0.35">
      <c r="A96" s="33">
        <v>102111001</v>
      </c>
      <c r="B96" s="33" t="s">
        <v>3</v>
      </c>
      <c r="C96" s="35">
        <v>46250</v>
      </c>
      <c r="D96" s="33" t="s">
        <v>154</v>
      </c>
      <c r="E96" s="33" t="s">
        <v>73</v>
      </c>
      <c r="F96" s="33" t="s">
        <v>74</v>
      </c>
      <c r="G96" s="33" t="s">
        <v>55</v>
      </c>
      <c r="H96" s="36" t="s">
        <v>56</v>
      </c>
      <c r="I96" s="36" t="s">
        <v>57</v>
      </c>
    </row>
    <row r="97" spans="1:9" x14ac:dyDescent="0.35">
      <c r="A97" s="33">
        <v>102111001</v>
      </c>
      <c r="B97" s="33" t="s">
        <v>3</v>
      </c>
      <c r="C97" s="35">
        <v>46252</v>
      </c>
      <c r="D97" s="33" t="s">
        <v>155</v>
      </c>
      <c r="E97" s="33" t="s">
        <v>69</v>
      </c>
      <c r="F97" s="33" t="s">
        <v>70</v>
      </c>
      <c r="G97" s="33" t="s">
        <v>51</v>
      </c>
      <c r="H97" s="36" t="s">
        <v>52</v>
      </c>
      <c r="I97" s="36" t="s">
        <v>53</v>
      </c>
    </row>
    <row r="98" spans="1:9" x14ac:dyDescent="0.35">
      <c r="A98" s="33">
        <v>102111001</v>
      </c>
      <c r="B98" s="33" t="s">
        <v>3</v>
      </c>
      <c r="C98" s="35">
        <v>46252</v>
      </c>
      <c r="D98" s="33" t="s">
        <v>156</v>
      </c>
      <c r="E98" s="33" t="s">
        <v>73</v>
      </c>
      <c r="F98" s="33" t="s">
        <v>74</v>
      </c>
      <c r="G98" s="33" t="s">
        <v>55</v>
      </c>
      <c r="H98" s="36" t="s">
        <v>56</v>
      </c>
      <c r="I98" s="36" t="s">
        <v>57</v>
      </c>
    </row>
    <row r="99" spans="1:9" x14ac:dyDescent="0.35">
      <c r="A99" s="33">
        <v>102111001</v>
      </c>
      <c r="B99" s="33" t="s">
        <v>3</v>
      </c>
      <c r="C99" s="35">
        <v>46253</v>
      </c>
      <c r="D99" s="33" t="s">
        <v>157</v>
      </c>
      <c r="E99" s="33" t="s">
        <v>69</v>
      </c>
      <c r="F99" s="33" t="s">
        <v>70</v>
      </c>
      <c r="G99" s="33" t="s">
        <v>51</v>
      </c>
      <c r="H99" s="36" t="s">
        <v>52</v>
      </c>
      <c r="I99" s="36" t="s">
        <v>53</v>
      </c>
    </row>
    <row r="100" spans="1:9" x14ac:dyDescent="0.35">
      <c r="A100" s="33">
        <v>102111001</v>
      </c>
      <c r="B100" s="33" t="s">
        <v>3</v>
      </c>
      <c r="C100" s="35">
        <v>46253</v>
      </c>
      <c r="D100" s="33" t="s">
        <v>158</v>
      </c>
      <c r="E100" s="33" t="s">
        <v>73</v>
      </c>
      <c r="F100" s="33" t="s">
        <v>74</v>
      </c>
      <c r="G100" s="33" t="s">
        <v>55</v>
      </c>
      <c r="H100" s="36" t="s">
        <v>56</v>
      </c>
      <c r="I100" s="36" t="s">
        <v>57</v>
      </c>
    </row>
    <row r="101" spans="1:9" x14ac:dyDescent="0.35">
      <c r="A101" s="33">
        <v>102111001</v>
      </c>
      <c r="B101" s="33" t="s">
        <v>3</v>
      </c>
      <c r="C101" s="35">
        <v>46254</v>
      </c>
      <c r="D101" s="33" t="s">
        <v>159</v>
      </c>
      <c r="E101" s="33" t="s">
        <v>69</v>
      </c>
      <c r="F101" s="33" t="s">
        <v>70</v>
      </c>
      <c r="G101" s="33" t="s">
        <v>51</v>
      </c>
      <c r="H101" s="36" t="s">
        <v>52</v>
      </c>
      <c r="I101" s="36" t="s">
        <v>53</v>
      </c>
    </row>
    <row r="102" spans="1:9" x14ac:dyDescent="0.35">
      <c r="A102" s="33">
        <v>102111001</v>
      </c>
      <c r="B102" s="33" t="s">
        <v>3</v>
      </c>
      <c r="C102" s="35">
        <v>46254</v>
      </c>
      <c r="D102" s="33" t="s">
        <v>160</v>
      </c>
      <c r="E102" s="33" t="s">
        <v>73</v>
      </c>
      <c r="F102" s="33" t="s">
        <v>74</v>
      </c>
      <c r="G102" s="33" t="s">
        <v>55</v>
      </c>
      <c r="H102" s="36" t="s">
        <v>56</v>
      </c>
      <c r="I102" s="36" t="s">
        <v>57</v>
      </c>
    </row>
    <row r="103" spans="1:9" x14ac:dyDescent="0.35">
      <c r="A103" s="33">
        <v>102111001</v>
      </c>
      <c r="B103" s="33" t="s">
        <v>3</v>
      </c>
      <c r="C103" s="35">
        <v>46256</v>
      </c>
      <c r="D103" s="33" t="s">
        <v>161</v>
      </c>
      <c r="E103" s="33" t="s">
        <v>69</v>
      </c>
      <c r="F103" s="33" t="s">
        <v>70</v>
      </c>
      <c r="G103" s="33" t="s">
        <v>51</v>
      </c>
      <c r="H103" s="36" t="s">
        <v>52</v>
      </c>
      <c r="I103" s="36" t="s">
        <v>53</v>
      </c>
    </row>
    <row r="104" spans="1:9" x14ac:dyDescent="0.35">
      <c r="A104" s="33">
        <v>102111001</v>
      </c>
      <c r="B104" s="33" t="s">
        <v>3</v>
      </c>
      <c r="C104" s="35">
        <v>46256</v>
      </c>
      <c r="D104" s="33" t="s">
        <v>162</v>
      </c>
      <c r="E104" s="33" t="s">
        <v>73</v>
      </c>
      <c r="F104" s="33" t="s">
        <v>74</v>
      </c>
      <c r="G104" s="33" t="s">
        <v>55</v>
      </c>
      <c r="H104" s="36" t="s">
        <v>56</v>
      </c>
      <c r="I104" s="36" t="s">
        <v>57</v>
      </c>
    </row>
    <row r="105" spans="1:9" x14ac:dyDescent="0.35">
      <c r="A105" s="33">
        <v>102111001</v>
      </c>
      <c r="B105" s="33" t="s">
        <v>3</v>
      </c>
      <c r="C105" s="35">
        <v>46257</v>
      </c>
      <c r="D105" s="33" t="s">
        <v>163</v>
      </c>
      <c r="E105" s="33" t="s">
        <v>69</v>
      </c>
      <c r="F105" s="33" t="s">
        <v>70</v>
      </c>
      <c r="G105" s="33" t="s">
        <v>51</v>
      </c>
      <c r="H105" s="36" t="s">
        <v>52</v>
      </c>
      <c r="I105" s="36" t="s">
        <v>53</v>
      </c>
    </row>
    <row r="106" spans="1:9" x14ac:dyDescent="0.35">
      <c r="A106" s="33">
        <v>102111001</v>
      </c>
      <c r="B106" s="33" t="s">
        <v>3</v>
      </c>
      <c r="C106" s="35">
        <v>46257</v>
      </c>
      <c r="D106" s="33" t="s">
        <v>164</v>
      </c>
      <c r="E106" s="33" t="s">
        <v>73</v>
      </c>
      <c r="F106" s="33" t="s">
        <v>74</v>
      </c>
      <c r="G106" s="33" t="s">
        <v>55</v>
      </c>
      <c r="H106" s="36" t="s">
        <v>56</v>
      </c>
      <c r="I106" s="36" t="s">
        <v>57</v>
      </c>
    </row>
    <row r="107" spans="1:9" x14ac:dyDescent="0.35">
      <c r="A107" s="33">
        <v>102111001</v>
      </c>
      <c r="B107" s="33" t="s">
        <v>3</v>
      </c>
      <c r="C107" s="35">
        <v>46258</v>
      </c>
      <c r="D107" s="33" t="s">
        <v>165</v>
      </c>
      <c r="E107" s="33" t="s">
        <v>69</v>
      </c>
      <c r="F107" s="33" t="s">
        <v>70</v>
      </c>
      <c r="G107" s="33" t="s">
        <v>51</v>
      </c>
      <c r="H107" s="36" t="s">
        <v>52</v>
      </c>
      <c r="I107" s="36" t="s">
        <v>53</v>
      </c>
    </row>
    <row r="108" spans="1:9" x14ac:dyDescent="0.35">
      <c r="A108" s="33">
        <v>102111001</v>
      </c>
      <c r="B108" s="33" t="s">
        <v>3</v>
      </c>
      <c r="C108" s="35">
        <v>46258</v>
      </c>
      <c r="D108" s="33" t="s">
        <v>166</v>
      </c>
      <c r="E108" s="33" t="s">
        <v>73</v>
      </c>
      <c r="F108" s="33" t="s">
        <v>74</v>
      </c>
      <c r="G108" s="33" t="s">
        <v>55</v>
      </c>
      <c r="H108" s="36" t="s">
        <v>56</v>
      </c>
      <c r="I108" s="36" t="s">
        <v>57</v>
      </c>
    </row>
    <row r="109" spans="1:9" x14ac:dyDescent="0.35">
      <c r="A109" s="33">
        <v>102111001</v>
      </c>
      <c r="B109" s="33" t="s">
        <v>3</v>
      </c>
      <c r="C109" s="35">
        <v>46259</v>
      </c>
      <c r="D109" s="33" t="s">
        <v>167</v>
      </c>
      <c r="E109" s="33" t="s">
        <v>69</v>
      </c>
      <c r="F109" s="33" t="s">
        <v>70</v>
      </c>
      <c r="G109" s="33" t="s">
        <v>51</v>
      </c>
      <c r="H109" s="36" t="s">
        <v>52</v>
      </c>
      <c r="I109" s="36" t="s">
        <v>53</v>
      </c>
    </row>
    <row r="110" spans="1:9" x14ac:dyDescent="0.35">
      <c r="A110" s="33">
        <v>102111001</v>
      </c>
      <c r="B110" s="33" t="s">
        <v>3</v>
      </c>
      <c r="C110" s="35">
        <v>46259</v>
      </c>
      <c r="D110" s="33" t="s">
        <v>168</v>
      </c>
      <c r="E110" s="33" t="s">
        <v>73</v>
      </c>
      <c r="F110" s="33" t="s">
        <v>74</v>
      </c>
      <c r="G110" s="33" t="s">
        <v>55</v>
      </c>
      <c r="H110" s="36" t="s">
        <v>56</v>
      </c>
      <c r="I110" s="36" t="s">
        <v>57</v>
      </c>
    </row>
    <row r="111" spans="1:9" x14ac:dyDescent="0.35">
      <c r="A111" s="33">
        <v>102111001</v>
      </c>
      <c r="B111" s="33" t="s">
        <v>3</v>
      </c>
      <c r="C111" s="35">
        <v>46260</v>
      </c>
      <c r="D111" s="33" t="s">
        <v>169</v>
      </c>
      <c r="E111" s="33" t="s">
        <v>73</v>
      </c>
      <c r="F111" s="33" t="s">
        <v>74</v>
      </c>
      <c r="G111" s="33" t="s">
        <v>55</v>
      </c>
      <c r="H111" s="36" t="s">
        <v>56</v>
      </c>
      <c r="I111" s="36" t="s">
        <v>57</v>
      </c>
    </row>
    <row r="112" spans="1:9" x14ac:dyDescent="0.35">
      <c r="A112" s="33">
        <v>102111001</v>
      </c>
      <c r="B112" s="33" t="s">
        <v>3</v>
      </c>
      <c r="C112" s="35">
        <v>46261</v>
      </c>
      <c r="D112" s="33" t="s">
        <v>170</v>
      </c>
      <c r="E112" s="33" t="s">
        <v>73</v>
      </c>
      <c r="F112" s="33" t="s">
        <v>74</v>
      </c>
      <c r="G112" s="33" t="s">
        <v>51</v>
      </c>
      <c r="H112" s="36" t="s">
        <v>52</v>
      </c>
      <c r="I112" s="36" t="s">
        <v>53</v>
      </c>
    </row>
    <row r="113" spans="1:9" x14ac:dyDescent="0.35">
      <c r="A113" s="33">
        <v>102111001</v>
      </c>
      <c r="B113" s="33" t="s">
        <v>3</v>
      </c>
      <c r="C113" s="35">
        <v>46262</v>
      </c>
      <c r="D113" s="33" t="s">
        <v>171</v>
      </c>
      <c r="E113" s="33" t="s">
        <v>69</v>
      </c>
      <c r="F113" s="33" t="s">
        <v>70</v>
      </c>
      <c r="G113" s="33" t="s">
        <v>51</v>
      </c>
      <c r="H113" s="36" t="s">
        <v>52</v>
      </c>
      <c r="I113" s="36" t="s">
        <v>53</v>
      </c>
    </row>
    <row r="114" spans="1:9" x14ac:dyDescent="0.35">
      <c r="A114" s="33">
        <v>102111001</v>
      </c>
      <c r="B114" s="33" t="s">
        <v>3</v>
      </c>
      <c r="C114" s="35">
        <v>46262</v>
      </c>
      <c r="D114" s="33" t="s">
        <v>172</v>
      </c>
      <c r="E114" s="33" t="s">
        <v>73</v>
      </c>
      <c r="F114" s="33" t="s">
        <v>74</v>
      </c>
      <c r="G114" s="33" t="s">
        <v>55</v>
      </c>
      <c r="H114" s="36" t="s">
        <v>56</v>
      </c>
      <c r="I114" s="36" t="s">
        <v>57</v>
      </c>
    </row>
    <row r="115" spans="1:9" x14ac:dyDescent="0.35">
      <c r="A115" s="33">
        <v>102111001</v>
      </c>
      <c r="B115" s="33" t="s">
        <v>3</v>
      </c>
      <c r="C115" s="35">
        <v>46263</v>
      </c>
      <c r="D115" s="33" t="s">
        <v>173</v>
      </c>
      <c r="E115" s="33" t="s">
        <v>69</v>
      </c>
      <c r="F115" s="33" t="s">
        <v>70</v>
      </c>
      <c r="G115" s="33" t="s">
        <v>51</v>
      </c>
      <c r="H115" s="36" t="s">
        <v>52</v>
      </c>
      <c r="I115" s="36" t="s">
        <v>53</v>
      </c>
    </row>
    <row r="116" spans="1:9" x14ac:dyDescent="0.35">
      <c r="A116" s="33">
        <v>102111001</v>
      </c>
      <c r="B116" s="33" t="s">
        <v>3</v>
      </c>
      <c r="C116" s="35">
        <v>46263</v>
      </c>
      <c r="D116" s="33" t="s">
        <v>174</v>
      </c>
      <c r="E116" s="33" t="s">
        <v>73</v>
      </c>
      <c r="F116" s="33" t="s">
        <v>74</v>
      </c>
      <c r="G116" s="33" t="s">
        <v>55</v>
      </c>
      <c r="H116" s="36" t="s">
        <v>56</v>
      </c>
      <c r="I116" s="36" t="s">
        <v>57</v>
      </c>
    </row>
    <row r="117" spans="1:9" x14ac:dyDescent="0.35">
      <c r="A117" s="33">
        <v>102111001</v>
      </c>
      <c r="B117" s="33" t="s">
        <v>3</v>
      </c>
      <c r="C117" s="35">
        <v>46264</v>
      </c>
      <c r="D117" s="33" t="s">
        <v>175</v>
      </c>
      <c r="E117" s="33" t="s">
        <v>69</v>
      </c>
      <c r="F117" s="33" t="s">
        <v>70</v>
      </c>
      <c r="G117" s="33" t="s">
        <v>51</v>
      </c>
      <c r="H117" s="36" t="s">
        <v>52</v>
      </c>
      <c r="I117" s="36" t="s">
        <v>53</v>
      </c>
    </row>
    <row r="118" spans="1:9" x14ac:dyDescent="0.35">
      <c r="A118" s="33">
        <v>102111001</v>
      </c>
      <c r="B118" s="33" t="s">
        <v>3</v>
      </c>
      <c r="C118" s="35">
        <v>46264</v>
      </c>
      <c r="D118" s="33" t="s">
        <v>176</v>
      </c>
      <c r="E118" s="33" t="s">
        <v>73</v>
      </c>
      <c r="F118" s="33" t="s">
        <v>74</v>
      </c>
      <c r="G118" s="33" t="s">
        <v>55</v>
      </c>
      <c r="H118" s="36" t="s">
        <v>56</v>
      </c>
      <c r="I118" s="36" t="s">
        <v>57</v>
      </c>
    </row>
    <row r="119" spans="1:9" x14ac:dyDescent="0.35">
      <c r="A119" s="33">
        <v>102111001</v>
      </c>
      <c r="B119" s="33" t="s">
        <v>3</v>
      </c>
      <c r="C119" s="35">
        <v>46265</v>
      </c>
      <c r="D119" s="33" t="s">
        <v>177</v>
      </c>
      <c r="E119" s="33" t="s">
        <v>69</v>
      </c>
      <c r="F119" s="33" t="s">
        <v>70</v>
      </c>
      <c r="G119" s="33" t="s">
        <v>51</v>
      </c>
      <c r="H119" s="36" t="s">
        <v>52</v>
      </c>
      <c r="I119" s="36" t="s">
        <v>53</v>
      </c>
    </row>
    <row r="120" spans="1:9" x14ac:dyDescent="0.35">
      <c r="A120" s="33">
        <v>102111001</v>
      </c>
      <c r="B120" s="33" t="s">
        <v>3</v>
      </c>
      <c r="C120" s="35">
        <v>46265</v>
      </c>
      <c r="D120" s="33" t="s">
        <v>178</v>
      </c>
      <c r="E120" s="33" t="s">
        <v>73</v>
      </c>
      <c r="F120" s="33" t="s">
        <v>74</v>
      </c>
      <c r="G120" s="33" t="s">
        <v>55</v>
      </c>
      <c r="H120" s="36" t="s">
        <v>56</v>
      </c>
      <c r="I120" s="36" t="s">
        <v>57</v>
      </c>
    </row>
    <row r="121" spans="1:9" x14ac:dyDescent="0.35">
      <c r="A121" s="33">
        <v>102111001</v>
      </c>
      <c r="B121" s="33" t="s">
        <v>3</v>
      </c>
      <c r="C121" s="35">
        <v>46266</v>
      </c>
      <c r="D121" s="33" t="s">
        <v>179</v>
      </c>
      <c r="E121" s="33" t="s">
        <v>73</v>
      </c>
      <c r="F121" s="33" t="s">
        <v>74</v>
      </c>
      <c r="G121" s="33" t="s">
        <v>51</v>
      </c>
      <c r="H121" s="36" t="s">
        <v>52</v>
      </c>
      <c r="I121" s="36" t="s">
        <v>53</v>
      </c>
    </row>
    <row r="122" spans="1:9" x14ac:dyDescent="0.35">
      <c r="A122" s="33">
        <v>102311001</v>
      </c>
      <c r="B122" s="33" t="s">
        <v>12</v>
      </c>
      <c r="C122" s="35">
        <v>46235</v>
      </c>
      <c r="D122" s="33" t="s">
        <v>180</v>
      </c>
      <c r="E122" s="33" t="s">
        <v>73</v>
      </c>
      <c r="F122" s="33" t="s">
        <v>74</v>
      </c>
      <c r="G122" s="33" t="s">
        <v>51</v>
      </c>
      <c r="H122" s="36" t="s">
        <v>52</v>
      </c>
      <c r="I122" s="36" t="s">
        <v>53</v>
      </c>
    </row>
    <row r="123" spans="1:9" x14ac:dyDescent="0.35">
      <c r="A123" s="33">
        <v>102311001</v>
      </c>
      <c r="B123" s="33" t="s">
        <v>12</v>
      </c>
      <c r="C123" s="35">
        <v>46235</v>
      </c>
      <c r="D123" s="33" t="s">
        <v>181</v>
      </c>
      <c r="E123" s="33" t="s">
        <v>73</v>
      </c>
      <c r="F123" s="33" t="s">
        <v>74</v>
      </c>
      <c r="G123" s="33" t="s">
        <v>55</v>
      </c>
      <c r="H123" s="36" t="s">
        <v>56</v>
      </c>
      <c r="I123" s="36" t="s">
        <v>57</v>
      </c>
    </row>
    <row r="124" spans="1:9" x14ac:dyDescent="0.35">
      <c r="A124" s="33">
        <v>102311001</v>
      </c>
      <c r="B124" s="33" t="s">
        <v>12</v>
      </c>
      <c r="C124" s="35">
        <v>46235</v>
      </c>
      <c r="D124" s="33" t="s">
        <v>101</v>
      </c>
      <c r="E124" s="33" t="s">
        <v>73</v>
      </c>
      <c r="F124" s="33" t="s">
        <v>74</v>
      </c>
      <c r="G124" s="33" t="s">
        <v>55</v>
      </c>
      <c r="H124" s="36" t="s">
        <v>56</v>
      </c>
      <c r="I124" s="36" t="s">
        <v>57</v>
      </c>
    </row>
    <row r="125" spans="1:9" x14ac:dyDescent="0.35">
      <c r="A125" s="33">
        <v>102311001</v>
      </c>
      <c r="B125" s="33" t="s">
        <v>12</v>
      </c>
      <c r="C125" s="35">
        <v>46236</v>
      </c>
      <c r="D125" s="33" t="s">
        <v>182</v>
      </c>
      <c r="E125" s="33" t="s">
        <v>73</v>
      </c>
      <c r="F125" s="33" t="s">
        <v>74</v>
      </c>
      <c r="G125" s="33" t="s">
        <v>51</v>
      </c>
      <c r="H125" s="36" t="s">
        <v>52</v>
      </c>
      <c r="I125" s="36" t="s">
        <v>53</v>
      </c>
    </row>
    <row r="126" spans="1:9" x14ac:dyDescent="0.35">
      <c r="A126" s="33">
        <v>102311001</v>
      </c>
      <c r="B126" s="33" t="s">
        <v>12</v>
      </c>
      <c r="C126" s="35">
        <v>46236</v>
      </c>
      <c r="D126" s="33" t="s">
        <v>183</v>
      </c>
      <c r="E126" s="33" t="s">
        <v>73</v>
      </c>
      <c r="F126" s="33" t="s">
        <v>74</v>
      </c>
      <c r="G126" s="33" t="s">
        <v>55</v>
      </c>
      <c r="H126" s="36" t="s">
        <v>56</v>
      </c>
      <c r="I126" s="36" t="s">
        <v>57</v>
      </c>
    </row>
    <row r="127" spans="1:9" x14ac:dyDescent="0.35">
      <c r="A127" s="33">
        <v>102311001</v>
      </c>
      <c r="B127" s="33" t="s">
        <v>12</v>
      </c>
      <c r="C127" s="35">
        <v>46237</v>
      </c>
      <c r="D127" s="33" t="s">
        <v>184</v>
      </c>
      <c r="E127" s="33" t="s">
        <v>73</v>
      </c>
      <c r="F127" s="33" t="s">
        <v>74</v>
      </c>
      <c r="G127" s="33" t="s">
        <v>51</v>
      </c>
      <c r="H127" s="36" t="s">
        <v>52</v>
      </c>
      <c r="I127" s="36" t="s">
        <v>53</v>
      </c>
    </row>
    <row r="128" spans="1:9" x14ac:dyDescent="0.35">
      <c r="A128" s="33">
        <v>102311001</v>
      </c>
      <c r="B128" s="33" t="s">
        <v>12</v>
      </c>
      <c r="C128" s="38">
        <v>46237</v>
      </c>
      <c r="D128" s="36" t="s">
        <v>185</v>
      </c>
      <c r="E128" s="36" t="s">
        <v>73</v>
      </c>
      <c r="F128" s="36" t="s">
        <v>74</v>
      </c>
      <c r="G128" s="36" t="s">
        <v>55</v>
      </c>
      <c r="H128" s="36" t="s">
        <v>56</v>
      </c>
      <c r="I128" s="36" t="s">
        <v>57</v>
      </c>
    </row>
    <row r="129" spans="1:9" x14ac:dyDescent="0.35">
      <c r="A129" s="33">
        <v>102311001</v>
      </c>
      <c r="B129" s="33" t="s">
        <v>12</v>
      </c>
      <c r="C129" s="38">
        <v>46238</v>
      </c>
      <c r="D129" s="36" t="s">
        <v>186</v>
      </c>
      <c r="E129" s="36" t="s">
        <v>73</v>
      </c>
      <c r="F129" s="36" t="s">
        <v>74</v>
      </c>
      <c r="G129" s="36" t="s">
        <v>51</v>
      </c>
      <c r="H129" s="36" t="s">
        <v>52</v>
      </c>
      <c r="I129" s="36" t="s">
        <v>53</v>
      </c>
    </row>
    <row r="130" spans="1:9" x14ac:dyDescent="0.35">
      <c r="A130" s="33">
        <v>102311001</v>
      </c>
      <c r="B130" s="33" t="s">
        <v>12</v>
      </c>
      <c r="C130" s="35">
        <v>46238</v>
      </c>
      <c r="D130" s="33" t="s">
        <v>187</v>
      </c>
      <c r="E130" s="33" t="s">
        <v>73</v>
      </c>
      <c r="F130" s="33" t="s">
        <v>74</v>
      </c>
      <c r="G130" s="33" t="s">
        <v>55</v>
      </c>
      <c r="H130" s="36" t="s">
        <v>56</v>
      </c>
      <c r="I130" s="36" t="s">
        <v>57</v>
      </c>
    </row>
    <row r="131" spans="1:9" x14ac:dyDescent="0.35">
      <c r="A131" s="33">
        <v>102311001</v>
      </c>
      <c r="B131" s="33" t="s">
        <v>12</v>
      </c>
      <c r="C131" s="35">
        <v>46239</v>
      </c>
      <c r="D131" s="33" t="s">
        <v>188</v>
      </c>
      <c r="E131" s="33" t="s">
        <v>73</v>
      </c>
      <c r="F131" s="33" t="s">
        <v>74</v>
      </c>
      <c r="G131" s="33" t="s">
        <v>51</v>
      </c>
      <c r="H131" s="36" t="s">
        <v>52</v>
      </c>
      <c r="I131" s="36" t="s">
        <v>53</v>
      </c>
    </row>
    <row r="132" spans="1:9" x14ac:dyDescent="0.35">
      <c r="A132" s="33">
        <v>102311001</v>
      </c>
      <c r="B132" s="33" t="s">
        <v>12</v>
      </c>
      <c r="C132" s="35">
        <v>46239</v>
      </c>
      <c r="D132" s="33" t="s">
        <v>189</v>
      </c>
      <c r="E132" s="33" t="s">
        <v>73</v>
      </c>
      <c r="F132" s="33" t="s">
        <v>74</v>
      </c>
      <c r="G132" s="33" t="s">
        <v>55</v>
      </c>
      <c r="H132" s="36" t="s">
        <v>56</v>
      </c>
      <c r="I132" s="36" t="s">
        <v>57</v>
      </c>
    </row>
    <row r="133" spans="1:9" x14ac:dyDescent="0.35">
      <c r="A133" s="33">
        <v>102311001</v>
      </c>
      <c r="B133" s="33" t="s">
        <v>12</v>
      </c>
      <c r="C133" s="35">
        <v>46240</v>
      </c>
      <c r="D133" s="33" t="s">
        <v>190</v>
      </c>
      <c r="E133" s="33" t="s">
        <v>73</v>
      </c>
      <c r="F133" s="33" t="s">
        <v>74</v>
      </c>
      <c r="G133" s="33" t="s">
        <v>51</v>
      </c>
      <c r="H133" s="36" t="s">
        <v>52</v>
      </c>
      <c r="I133" s="36" t="s">
        <v>53</v>
      </c>
    </row>
    <row r="134" spans="1:9" x14ac:dyDescent="0.35">
      <c r="A134" s="33">
        <v>102311001</v>
      </c>
      <c r="B134" s="33" t="s">
        <v>12</v>
      </c>
      <c r="C134" s="35">
        <v>46240</v>
      </c>
      <c r="D134" s="33" t="s">
        <v>191</v>
      </c>
      <c r="E134" s="33" t="s">
        <v>73</v>
      </c>
      <c r="F134" s="33" t="s">
        <v>74</v>
      </c>
      <c r="G134" s="33" t="s">
        <v>55</v>
      </c>
      <c r="H134" s="36" t="s">
        <v>56</v>
      </c>
      <c r="I134" s="36" t="s">
        <v>57</v>
      </c>
    </row>
    <row r="135" spans="1:9" x14ac:dyDescent="0.35">
      <c r="A135" s="33">
        <v>102311001</v>
      </c>
      <c r="B135" s="33" t="s">
        <v>12</v>
      </c>
      <c r="C135" s="35">
        <v>46242</v>
      </c>
      <c r="D135" s="33" t="s">
        <v>143</v>
      </c>
      <c r="E135" s="33" t="s">
        <v>73</v>
      </c>
      <c r="F135" s="33" t="s">
        <v>74</v>
      </c>
      <c r="G135" s="33" t="s">
        <v>51</v>
      </c>
      <c r="H135" s="36" t="s">
        <v>52</v>
      </c>
      <c r="I135" s="36" t="s">
        <v>53</v>
      </c>
    </row>
    <row r="136" spans="1:9" x14ac:dyDescent="0.35">
      <c r="A136" s="33">
        <v>102311001</v>
      </c>
      <c r="B136" s="33" t="s">
        <v>12</v>
      </c>
      <c r="C136" s="35">
        <v>46242</v>
      </c>
      <c r="D136" s="33" t="s">
        <v>192</v>
      </c>
      <c r="E136" s="33" t="s">
        <v>73</v>
      </c>
      <c r="F136" s="33" t="s">
        <v>74</v>
      </c>
      <c r="G136" s="33" t="s">
        <v>55</v>
      </c>
      <c r="H136" s="36" t="s">
        <v>56</v>
      </c>
      <c r="I136" s="36" t="s">
        <v>57</v>
      </c>
    </row>
    <row r="137" spans="1:9" x14ac:dyDescent="0.35">
      <c r="A137" s="33">
        <v>102311001</v>
      </c>
      <c r="B137" s="33" t="s">
        <v>12</v>
      </c>
      <c r="C137" s="35">
        <v>46243</v>
      </c>
      <c r="D137" s="33" t="s">
        <v>193</v>
      </c>
      <c r="E137" s="33" t="s">
        <v>73</v>
      </c>
      <c r="F137" s="33" t="s">
        <v>74</v>
      </c>
      <c r="G137" s="33" t="s">
        <v>51</v>
      </c>
      <c r="H137" s="36" t="s">
        <v>52</v>
      </c>
      <c r="I137" s="36" t="s">
        <v>53</v>
      </c>
    </row>
    <row r="138" spans="1:9" x14ac:dyDescent="0.35">
      <c r="A138" s="33">
        <v>102311001</v>
      </c>
      <c r="B138" s="33" t="s">
        <v>12</v>
      </c>
      <c r="C138" s="35">
        <v>46243</v>
      </c>
      <c r="D138" s="33" t="s">
        <v>194</v>
      </c>
      <c r="E138" s="33" t="s">
        <v>73</v>
      </c>
      <c r="F138" s="33" t="s">
        <v>74</v>
      </c>
      <c r="G138" s="33" t="s">
        <v>55</v>
      </c>
      <c r="H138" s="36" t="s">
        <v>56</v>
      </c>
      <c r="I138" s="36" t="s">
        <v>57</v>
      </c>
    </row>
    <row r="139" spans="1:9" x14ac:dyDescent="0.35">
      <c r="A139" s="33">
        <v>102311001</v>
      </c>
      <c r="B139" s="33" t="s">
        <v>12</v>
      </c>
      <c r="C139" s="35">
        <v>46244</v>
      </c>
      <c r="D139" s="33" t="s">
        <v>195</v>
      </c>
      <c r="E139" s="33" t="s">
        <v>73</v>
      </c>
      <c r="F139" s="33" t="s">
        <v>74</v>
      </c>
      <c r="G139" s="33" t="s">
        <v>51</v>
      </c>
      <c r="H139" s="36" t="s">
        <v>52</v>
      </c>
      <c r="I139" s="36" t="s">
        <v>53</v>
      </c>
    </row>
    <row r="140" spans="1:9" x14ac:dyDescent="0.35">
      <c r="A140" s="33">
        <v>102311001</v>
      </c>
      <c r="B140" s="33" t="s">
        <v>12</v>
      </c>
      <c r="C140" s="35">
        <v>46244</v>
      </c>
      <c r="D140" s="33" t="s">
        <v>196</v>
      </c>
      <c r="E140" s="33" t="s">
        <v>73</v>
      </c>
      <c r="F140" s="33" t="s">
        <v>74</v>
      </c>
      <c r="G140" s="33" t="s">
        <v>55</v>
      </c>
      <c r="H140" s="36" t="s">
        <v>56</v>
      </c>
      <c r="I140" s="36" t="s">
        <v>57</v>
      </c>
    </row>
    <row r="141" spans="1:9" x14ac:dyDescent="0.35">
      <c r="A141" s="33">
        <v>102311001</v>
      </c>
      <c r="B141" s="33" t="s">
        <v>12</v>
      </c>
      <c r="C141" s="35">
        <v>46245</v>
      </c>
      <c r="D141" s="33" t="s">
        <v>197</v>
      </c>
      <c r="E141" s="33" t="s">
        <v>73</v>
      </c>
      <c r="F141" s="33" t="s">
        <v>74</v>
      </c>
      <c r="G141" s="33" t="s">
        <v>51</v>
      </c>
      <c r="H141" s="36" t="s">
        <v>52</v>
      </c>
      <c r="I141" s="36" t="s">
        <v>53</v>
      </c>
    </row>
    <row r="142" spans="1:9" x14ac:dyDescent="0.35">
      <c r="A142" s="33">
        <v>102311001</v>
      </c>
      <c r="B142" s="33" t="s">
        <v>12</v>
      </c>
      <c r="C142" s="38">
        <v>46245</v>
      </c>
      <c r="D142" s="36" t="s">
        <v>198</v>
      </c>
      <c r="E142" s="36" t="s">
        <v>73</v>
      </c>
      <c r="F142" s="36" t="s">
        <v>74</v>
      </c>
      <c r="G142" s="36" t="s">
        <v>55</v>
      </c>
      <c r="H142" s="36" t="s">
        <v>56</v>
      </c>
      <c r="I142" s="36" t="s">
        <v>57</v>
      </c>
    </row>
    <row r="143" spans="1:9" x14ac:dyDescent="0.35">
      <c r="A143" s="33">
        <v>102311001</v>
      </c>
      <c r="B143" s="33" t="s">
        <v>12</v>
      </c>
      <c r="C143" s="35">
        <v>46246</v>
      </c>
      <c r="D143" s="33" t="s">
        <v>199</v>
      </c>
      <c r="E143" s="33" t="s">
        <v>73</v>
      </c>
      <c r="F143" s="33" t="s">
        <v>74</v>
      </c>
      <c r="G143" s="33" t="s">
        <v>51</v>
      </c>
      <c r="H143" s="36" t="s">
        <v>52</v>
      </c>
      <c r="I143" s="36" t="s">
        <v>53</v>
      </c>
    </row>
    <row r="144" spans="1:9" x14ac:dyDescent="0.35">
      <c r="A144" s="33">
        <v>102311001</v>
      </c>
      <c r="B144" s="33" t="s">
        <v>12</v>
      </c>
      <c r="C144" s="35">
        <v>46246</v>
      </c>
      <c r="D144" s="33" t="s">
        <v>200</v>
      </c>
      <c r="E144" s="33" t="s">
        <v>73</v>
      </c>
      <c r="F144" s="33" t="s">
        <v>74</v>
      </c>
      <c r="G144" s="33" t="s">
        <v>55</v>
      </c>
      <c r="H144" s="36" t="s">
        <v>56</v>
      </c>
      <c r="I144" s="36" t="s">
        <v>57</v>
      </c>
    </row>
    <row r="145" spans="1:9" x14ac:dyDescent="0.35">
      <c r="A145" s="33">
        <v>102311001</v>
      </c>
      <c r="B145" s="33" t="s">
        <v>12</v>
      </c>
      <c r="C145" s="35">
        <v>46247</v>
      </c>
      <c r="D145" s="33" t="s">
        <v>201</v>
      </c>
      <c r="E145" s="33" t="s">
        <v>73</v>
      </c>
      <c r="F145" s="33" t="s">
        <v>74</v>
      </c>
      <c r="G145" s="33" t="s">
        <v>51</v>
      </c>
      <c r="H145" s="36" t="s">
        <v>52</v>
      </c>
      <c r="I145" s="36" t="s">
        <v>53</v>
      </c>
    </row>
    <row r="146" spans="1:9" x14ac:dyDescent="0.35">
      <c r="A146" s="33">
        <v>102311001</v>
      </c>
      <c r="B146" s="33" t="s">
        <v>12</v>
      </c>
      <c r="C146" s="35">
        <v>46247</v>
      </c>
      <c r="D146" s="33" t="s">
        <v>202</v>
      </c>
      <c r="E146" s="33" t="s">
        <v>73</v>
      </c>
      <c r="F146" s="33" t="s">
        <v>74</v>
      </c>
      <c r="G146" s="33" t="s">
        <v>55</v>
      </c>
      <c r="H146" s="36" t="s">
        <v>56</v>
      </c>
      <c r="I146" s="36" t="s">
        <v>57</v>
      </c>
    </row>
    <row r="147" spans="1:9" x14ac:dyDescent="0.35">
      <c r="A147" s="33">
        <v>102311001</v>
      </c>
      <c r="B147" s="33" t="s">
        <v>12</v>
      </c>
      <c r="C147" s="35">
        <v>46248</v>
      </c>
      <c r="D147" s="33" t="s">
        <v>203</v>
      </c>
      <c r="E147" s="33" t="s">
        <v>73</v>
      </c>
      <c r="F147" s="33" t="s">
        <v>74</v>
      </c>
      <c r="G147" s="33" t="s">
        <v>51</v>
      </c>
      <c r="H147" s="36" t="s">
        <v>52</v>
      </c>
      <c r="I147" s="36" t="s">
        <v>53</v>
      </c>
    </row>
    <row r="148" spans="1:9" x14ac:dyDescent="0.35">
      <c r="A148" s="33">
        <v>102311001</v>
      </c>
      <c r="B148" s="33" t="s">
        <v>12</v>
      </c>
      <c r="C148" s="35">
        <v>46248</v>
      </c>
      <c r="D148" s="33" t="s">
        <v>204</v>
      </c>
      <c r="E148" s="33" t="s">
        <v>73</v>
      </c>
      <c r="F148" s="33" t="s">
        <v>74</v>
      </c>
      <c r="G148" s="33" t="s">
        <v>55</v>
      </c>
      <c r="H148" s="36" t="s">
        <v>56</v>
      </c>
      <c r="I148" s="36" t="s">
        <v>57</v>
      </c>
    </row>
    <row r="149" spans="1:9" x14ac:dyDescent="0.35">
      <c r="A149" s="33">
        <v>102311001</v>
      </c>
      <c r="B149" s="33" t="s">
        <v>12</v>
      </c>
      <c r="C149" s="35">
        <v>46249</v>
      </c>
      <c r="D149" s="33" t="s">
        <v>161</v>
      </c>
      <c r="E149" s="33" t="s">
        <v>73</v>
      </c>
      <c r="F149" s="33" t="s">
        <v>74</v>
      </c>
      <c r="G149" s="33" t="s">
        <v>51</v>
      </c>
      <c r="H149" s="36" t="s">
        <v>52</v>
      </c>
      <c r="I149" s="36" t="s">
        <v>53</v>
      </c>
    </row>
    <row r="150" spans="1:9" x14ac:dyDescent="0.35">
      <c r="A150" s="33">
        <v>102311001</v>
      </c>
      <c r="B150" s="33" t="s">
        <v>12</v>
      </c>
      <c r="C150" s="35">
        <v>46249</v>
      </c>
      <c r="D150" s="33" t="s">
        <v>205</v>
      </c>
      <c r="E150" s="33" t="s">
        <v>73</v>
      </c>
      <c r="F150" s="33" t="s">
        <v>74</v>
      </c>
      <c r="G150" s="33" t="s">
        <v>55</v>
      </c>
      <c r="H150" s="36" t="s">
        <v>56</v>
      </c>
      <c r="I150" s="36" t="s">
        <v>57</v>
      </c>
    </row>
    <row r="151" spans="1:9" x14ac:dyDescent="0.35">
      <c r="A151" s="33">
        <v>102311001</v>
      </c>
      <c r="B151" s="33" t="s">
        <v>12</v>
      </c>
      <c r="C151" s="35">
        <v>46250</v>
      </c>
      <c r="D151" s="33" t="s">
        <v>206</v>
      </c>
      <c r="E151" s="33" t="s">
        <v>73</v>
      </c>
      <c r="F151" s="33" t="s">
        <v>74</v>
      </c>
      <c r="G151" s="33" t="s">
        <v>51</v>
      </c>
      <c r="H151" s="36" t="s">
        <v>52</v>
      </c>
      <c r="I151" s="36" t="s">
        <v>53</v>
      </c>
    </row>
    <row r="152" spans="1:9" x14ac:dyDescent="0.35">
      <c r="A152" s="33">
        <v>102311001</v>
      </c>
      <c r="B152" s="33" t="s">
        <v>12</v>
      </c>
      <c r="C152" s="35">
        <v>46250</v>
      </c>
      <c r="D152" s="33" t="s">
        <v>207</v>
      </c>
      <c r="E152" s="33" t="s">
        <v>73</v>
      </c>
      <c r="F152" s="33" t="s">
        <v>74</v>
      </c>
      <c r="G152" s="33" t="s">
        <v>55</v>
      </c>
      <c r="H152" s="36" t="s">
        <v>56</v>
      </c>
      <c r="I152" s="36" t="s">
        <v>57</v>
      </c>
    </row>
    <row r="153" spans="1:9" x14ac:dyDescent="0.35">
      <c r="A153" s="33">
        <v>102311001</v>
      </c>
      <c r="B153" s="33" t="s">
        <v>12</v>
      </c>
      <c r="C153" s="35">
        <v>46252</v>
      </c>
      <c r="D153" s="33" t="s">
        <v>208</v>
      </c>
      <c r="E153" s="33" t="s">
        <v>73</v>
      </c>
      <c r="F153" s="33" t="s">
        <v>74</v>
      </c>
      <c r="G153" s="33" t="s">
        <v>51</v>
      </c>
      <c r="H153" s="36" t="s">
        <v>52</v>
      </c>
      <c r="I153" s="36" t="s">
        <v>53</v>
      </c>
    </row>
    <row r="154" spans="1:9" x14ac:dyDescent="0.35">
      <c r="A154" s="33">
        <v>102311001</v>
      </c>
      <c r="B154" s="33" t="s">
        <v>12</v>
      </c>
      <c r="C154" s="35">
        <v>46252</v>
      </c>
      <c r="D154" s="33" t="s">
        <v>209</v>
      </c>
      <c r="E154" s="33" t="s">
        <v>73</v>
      </c>
      <c r="F154" s="33" t="s">
        <v>74</v>
      </c>
      <c r="G154" s="33" t="s">
        <v>55</v>
      </c>
      <c r="H154" s="36" t="s">
        <v>56</v>
      </c>
      <c r="I154" s="36" t="s">
        <v>57</v>
      </c>
    </row>
    <row r="155" spans="1:9" x14ac:dyDescent="0.35">
      <c r="A155" s="33">
        <v>102311001</v>
      </c>
      <c r="B155" s="33" t="s">
        <v>12</v>
      </c>
      <c r="C155" s="35">
        <v>46253</v>
      </c>
      <c r="D155" s="33" t="s">
        <v>210</v>
      </c>
      <c r="E155" s="33" t="s">
        <v>73</v>
      </c>
      <c r="F155" s="33" t="s">
        <v>74</v>
      </c>
      <c r="G155" s="33" t="s">
        <v>51</v>
      </c>
      <c r="H155" s="36" t="s">
        <v>52</v>
      </c>
      <c r="I155" s="36" t="s">
        <v>53</v>
      </c>
    </row>
    <row r="156" spans="1:9" x14ac:dyDescent="0.35">
      <c r="A156" s="33">
        <v>102311001</v>
      </c>
      <c r="B156" s="33" t="s">
        <v>12</v>
      </c>
      <c r="C156" s="35">
        <v>46253</v>
      </c>
      <c r="D156" s="33" t="s">
        <v>211</v>
      </c>
      <c r="E156" s="33" t="s">
        <v>73</v>
      </c>
      <c r="F156" s="33" t="s">
        <v>74</v>
      </c>
      <c r="G156" s="33" t="s">
        <v>55</v>
      </c>
      <c r="H156" s="36" t="s">
        <v>56</v>
      </c>
      <c r="I156" s="36" t="s">
        <v>57</v>
      </c>
    </row>
    <row r="157" spans="1:9" x14ac:dyDescent="0.35">
      <c r="A157" s="33">
        <v>102311001</v>
      </c>
      <c r="B157" s="33" t="s">
        <v>12</v>
      </c>
      <c r="C157" s="35">
        <v>46254</v>
      </c>
      <c r="D157" s="33" t="s">
        <v>212</v>
      </c>
      <c r="E157" s="33" t="s">
        <v>73</v>
      </c>
      <c r="F157" s="33" t="s">
        <v>74</v>
      </c>
      <c r="G157" s="33" t="s">
        <v>51</v>
      </c>
      <c r="H157" s="36" t="s">
        <v>52</v>
      </c>
      <c r="I157" s="36" t="s">
        <v>53</v>
      </c>
    </row>
    <row r="158" spans="1:9" x14ac:dyDescent="0.35">
      <c r="A158" s="33">
        <v>102311001</v>
      </c>
      <c r="B158" s="33" t="s">
        <v>12</v>
      </c>
      <c r="C158" s="35">
        <v>46254</v>
      </c>
      <c r="D158" s="33" t="s">
        <v>213</v>
      </c>
      <c r="E158" s="33" t="s">
        <v>73</v>
      </c>
      <c r="F158" s="33" t="s">
        <v>74</v>
      </c>
      <c r="G158" s="33" t="s">
        <v>55</v>
      </c>
      <c r="H158" s="36" t="s">
        <v>56</v>
      </c>
      <c r="I158" s="36" t="s">
        <v>57</v>
      </c>
    </row>
    <row r="159" spans="1:9" x14ac:dyDescent="0.35">
      <c r="A159" s="33">
        <v>102311001</v>
      </c>
      <c r="B159" s="33" t="s">
        <v>12</v>
      </c>
      <c r="C159" s="35">
        <v>46256</v>
      </c>
      <c r="D159" s="33" t="s">
        <v>214</v>
      </c>
      <c r="E159" s="33" t="s">
        <v>73</v>
      </c>
      <c r="F159" s="33" t="s">
        <v>74</v>
      </c>
      <c r="G159" s="33" t="s">
        <v>51</v>
      </c>
      <c r="H159" s="36" t="s">
        <v>52</v>
      </c>
      <c r="I159" s="36" t="s">
        <v>53</v>
      </c>
    </row>
    <row r="160" spans="1:9" x14ac:dyDescent="0.35">
      <c r="A160" s="33">
        <v>102311001</v>
      </c>
      <c r="B160" s="33" t="s">
        <v>12</v>
      </c>
      <c r="C160" s="35">
        <v>46256</v>
      </c>
      <c r="D160" s="33" t="s">
        <v>215</v>
      </c>
      <c r="E160" s="33" t="s">
        <v>73</v>
      </c>
      <c r="F160" s="33" t="s">
        <v>74</v>
      </c>
      <c r="G160" s="33" t="s">
        <v>55</v>
      </c>
      <c r="H160" s="36" t="s">
        <v>56</v>
      </c>
      <c r="I160" s="36" t="s">
        <v>57</v>
      </c>
    </row>
    <row r="161" spans="1:9" x14ac:dyDescent="0.35">
      <c r="A161" s="33">
        <v>102311001</v>
      </c>
      <c r="B161" s="33" t="s">
        <v>12</v>
      </c>
      <c r="C161" s="35">
        <v>46257</v>
      </c>
      <c r="D161" s="33" t="s">
        <v>216</v>
      </c>
      <c r="E161" s="33" t="s">
        <v>73</v>
      </c>
      <c r="F161" s="33" t="s">
        <v>74</v>
      </c>
      <c r="G161" s="33" t="s">
        <v>51</v>
      </c>
      <c r="H161" s="36" t="s">
        <v>52</v>
      </c>
      <c r="I161" s="36" t="s">
        <v>53</v>
      </c>
    </row>
    <row r="162" spans="1:9" x14ac:dyDescent="0.35">
      <c r="A162" s="33">
        <v>102311001</v>
      </c>
      <c r="B162" s="33" t="s">
        <v>12</v>
      </c>
      <c r="C162" s="35">
        <v>46257</v>
      </c>
      <c r="D162" s="33" t="s">
        <v>217</v>
      </c>
      <c r="E162" s="33" t="s">
        <v>73</v>
      </c>
      <c r="F162" s="33" t="s">
        <v>74</v>
      </c>
      <c r="G162" s="33" t="s">
        <v>55</v>
      </c>
      <c r="H162" s="36" t="s">
        <v>56</v>
      </c>
      <c r="I162" s="36" t="s">
        <v>57</v>
      </c>
    </row>
    <row r="163" spans="1:9" x14ac:dyDescent="0.35">
      <c r="A163" s="33">
        <v>102311001</v>
      </c>
      <c r="B163" s="33" t="s">
        <v>12</v>
      </c>
      <c r="C163" s="35">
        <v>46258</v>
      </c>
      <c r="D163" s="33" t="s">
        <v>218</v>
      </c>
      <c r="E163" s="33" t="s">
        <v>73</v>
      </c>
      <c r="F163" s="33" t="s">
        <v>74</v>
      </c>
      <c r="G163" s="33" t="s">
        <v>51</v>
      </c>
      <c r="H163" s="36" t="s">
        <v>52</v>
      </c>
      <c r="I163" s="36" t="s">
        <v>53</v>
      </c>
    </row>
    <row r="164" spans="1:9" x14ac:dyDescent="0.35">
      <c r="A164" s="33">
        <v>102311001</v>
      </c>
      <c r="B164" s="33" t="s">
        <v>12</v>
      </c>
      <c r="C164" s="35">
        <v>46258</v>
      </c>
      <c r="D164" s="33" t="s">
        <v>219</v>
      </c>
      <c r="E164" s="33" t="s">
        <v>73</v>
      </c>
      <c r="F164" s="33" t="s">
        <v>74</v>
      </c>
      <c r="G164" s="33" t="s">
        <v>55</v>
      </c>
      <c r="H164" s="36" t="s">
        <v>56</v>
      </c>
      <c r="I164" s="36" t="s">
        <v>57</v>
      </c>
    </row>
    <row r="165" spans="1:9" x14ac:dyDescent="0.35">
      <c r="A165" s="33">
        <v>102311001</v>
      </c>
      <c r="B165" s="33" t="s">
        <v>12</v>
      </c>
      <c r="C165" s="35">
        <v>46259</v>
      </c>
      <c r="D165" s="33" t="s">
        <v>220</v>
      </c>
      <c r="E165" s="33" t="s">
        <v>73</v>
      </c>
      <c r="F165" s="33" t="s">
        <v>74</v>
      </c>
      <c r="G165" s="33" t="s">
        <v>51</v>
      </c>
      <c r="H165" s="36" t="s">
        <v>52</v>
      </c>
      <c r="I165" s="36" t="s">
        <v>53</v>
      </c>
    </row>
    <row r="166" spans="1:9" x14ac:dyDescent="0.35">
      <c r="A166" s="33">
        <v>102311001</v>
      </c>
      <c r="B166" s="33" t="s">
        <v>12</v>
      </c>
      <c r="C166" s="35">
        <v>46259</v>
      </c>
      <c r="D166" s="33" t="s">
        <v>221</v>
      </c>
      <c r="E166" s="33" t="s">
        <v>73</v>
      </c>
      <c r="F166" s="33" t="s">
        <v>74</v>
      </c>
      <c r="G166" s="33" t="s">
        <v>55</v>
      </c>
      <c r="H166" s="36" t="s">
        <v>56</v>
      </c>
      <c r="I166" s="36" t="s">
        <v>57</v>
      </c>
    </row>
    <row r="167" spans="1:9" x14ac:dyDescent="0.35">
      <c r="A167" s="33">
        <v>102311001</v>
      </c>
      <c r="B167" s="33" t="s">
        <v>12</v>
      </c>
      <c r="C167" s="35">
        <v>46260</v>
      </c>
      <c r="D167" s="33" t="s">
        <v>222</v>
      </c>
      <c r="E167" s="33" t="s">
        <v>73</v>
      </c>
      <c r="F167" s="33" t="s">
        <v>74</v>
      </c>
      <c r="G167" s="33" t="s">
        <v>51</v>
      </c>
      <c r="H167" s="36" t="s">
        <v>52</v>
      </c>
      <c r="I167" s="36" t="s">
        <v>53</v>
      </c>
    </row>
    <row r="168" spans="1:9" x14ac:dyDescent="0.35">
      <c r="A168" s="33">
        <v>102311001</v>
      </c>
      <c r="B168" s="33" t="s">
        <v>12</v>
      </c>
      <c r="C168" s="35">
        <v>46260</v>
      </c>
      <c r="D168" s="33" t="s">
        <v>223</v>
      </c>
      <c r="E168" s="33" t="s">
        <v>73</v>
      </c>
      <c r="F168" s="33" t="s">
        <v>74</v>
      </c>
      <c r="G168" s="33" t="s">
        <v>55</v>
      </c>
      <c r="H168" s="36" t="s">
        <v>56</v>
      </c>
      <c r="I168" s="36" t="s">
        <v>57</v>
      </c>
    </row>
    <row r="169" spans="1:9" x14ac:dyDescent="0.35">
      <c r="A169" s="33">
        <v>102311001</v>
      </c>
      <c r="B169" s="33" t="s">
        <v>12</v>
      </c>
      <c r="C169" s="35">
        <v>46261</v>
      </c>
      <c r="D169" s="33" t="s">
        <v>224</v>
      </c>
      <c r="E169" s="33" t="s">
        <v>73</v>
      </c>
      <c r="F169" s="33" t="s">
        <v>74</v>
      </c>
      <c r="G169" s="33" t="s">
        <v>51</v>
      </c>
      <c r="H169" s="36" t="s">
        <v>52</v>
      </c>
      <c r="I169" s="36" t="s">
        <v>53</v>
      </c>
    </row>
    <row r="170" spans="1:9" x14ac:dyDescent="0.35">
      <c r="A170" s="33">
        <v>102311001</v>
      </c>
      <c r="B170" s="33" t="s">
        <v>12</v>
      </c>
      <c r="C170" s="35">
        <v>46261</v>
      </c>
      <c r="D170" s="33" t="s">
        <v>225</v>
      </c>
      <c r="E170" s="33" t="s">
        <v>73</v>
      </c>
      <c r="F170" s="33" t="s">
        <v>74</v>
      </c>
      <c r="G170" s="33" t="s">
        <v>55</v>
      </c>
      <c r="H170" s="36" t="s">
        <v>56</v>
      </c>
      <c r="I170" s="36" t="s">
        <v>57</v>
      </c>
    </row>
    <row r="171" spans="1:9" x14ac:dyDescent="0.35">
      <c r="A171" s="33">
        <v>102311001</v>
      </c>
      <c r="B171" s="33" t="s">
        <v>12</v>
      </c>
      <c r="C171" s="35">
        <v>46262</v>
      </c>
      <c r="D171" s="33" t="s">
        <v>226</v>
      </c>
      <c r="E171" s="33" t="s">
        <v>73</v>
      </c>
      <c r="F171" s="33" t="s">
        <v>74</v>
      </c>
      <c r="G171" s="33" t="s">
        <v>51</v>
      </c>
      <c r="H171" s="36" t="s">
        <v>52</v>
      </c>
      <c r="I171" s="36" t="s">
        <v>53</v>
      </c>
    </row>
    <row r="172" spans="1:9" x14ac:dyDescent="0.35">
      <c r="A172" s="33">
        <v>102311001</v>
      </c>
      <c r="B172" s="33" t="s">
        <v>12</v>
      </c>
      <c r="C172" s="35">
        <v>46262</v>
      </c>
      <c r="D172" s="33" t="s">
        <v>227</v>
      </c>
      <c r="E172" s="33" t="s">
        <v>73</v>
      </c>
      <c r="F172" s="33" t="s">
        <v>74</v>
      </c>
      <c r="G172" s="33" t="s">
        <v>55</v>
      </c>
      <c r="H172" s="36" t="s">
        <v>56</v>
      </c>
      <c r="I172" s="36" t="s">
        <v>57</v>
      </c>
    </row>
    <row r="173" spans="1:9" x14ac:dyDescent="0.35">
      <c r="A173" s="33">
        <v>102311001</v>
      </c>
      <c r="B173" s="33" t="s">
        <v>12</v>
      </c>
      <c r="C173" s="35">
        <v>46263</v>
      </c>
      <c r="D173" s="33" t="s">
        <v>228</v>
      </c>
      <c r="E173" s="33" t="s">
        <v>73</v>
      </c>
      <c r="F173" s="33" t="s">
        <v>74</v>
      </c>
      <c r="G173" s="33" t="s">
        <v>51</v>
      </c>
      <c r="H173" s="36" t="s">
        <v>52</v>
      </c>
      <c r="I173" s="36" t="s">
        <v>53</v>
      </c>
    </row>
    <row r="174" spans="1:9" x14ac:dyDescent="0.35">
      <c r="A174" s="33">
        <v>102311001</v>
      </c>
      <c r="B174" s="33" t="s">
        <v>12</v>
      </c>
      <c r="C174" s="35">
        <v>46263</v>
      </c>
      <c r="D174" s="33" t="s">
        <v>229</v>
      </c>
      <c r="E174" s="33" t="s">
        <v>73</v>
      </c>
      <c r="F174" s="33" t="s">
        <v>74</v>
      </c>
      <c r="G174" s="33" t="s">
        <v>55</v>
      </c>
      <c r="H174" s="36" t="s">
        <v>56</v>
      </c>
      <c r="I174" s="36" t="s">
        <v>57</v>
      </c>
    </row>
    <row r="175" spans="1:9" x14ac:dyDescent="0.35">
      <c r="A175" s="33">
        <v>102311001</v>
      </c>
      <c r="B175" s="33" t="s">
        <v>12</v>
      </c>
      <c r="C175" s="35">
        <v>46264</v>
      </c>
      <c r="D175" s="33" t="s">
        <v>230</v>
      </c>
      <c r="E175" s="33" t="s">
        <v>73</v>
      </c>
      <c r="F175" s="33" t="s">
        <v>74</v>
      </c>
      <c r="G175" s="33" t="s">
        <v>51</v>
      </c>
      <c r="H175" s="36" t="s">
        <v>52</v>
      </c>
      <c r="I175" s="36" t="s">
        <v>53</v>
      </c>
    </row>
    <row r="176" spans="1:9" x14ac:dyDescent="0.35">
      <c r="A176" s="33">
        <v>102311001</v>
      </c>
      <c r="B176" s="33" t="s">
        <v>12</v>
      </c>
      <c r="C176" s="35">
        <v>46264</v>
      </c>
      <c r="D176" s="33" t="s">
        <v>231</v>
      </c>
      <c r="E176" s="33" t="s">
        <v>73</v>
      </c>
      <c r="F176" s="33" t="s">
        <v>74</v>
      </c>
      <c r="G176" s="33" t="s">
        <v>55</v>
      </c>
      <c r="H176" s="36" t="s">
        <v>56</v>
      </c>
      <c r="I176" s="36" t="s">
        <v>57</v>
      </c>
    </row>
    <row r="177" spans="1:9" x14ac:dyDescent="0.35">
      <c r="A177" s="33">
        <v>102311001</v>
      </c>
      <c r="B177" s="33" t="s">
        <v>12</v>
      </c>
      <c r="C177" s="35">
        <v>46265</v>
      </c>
      <c r="D177" s="33" t="s">
        <v>232</v>
      </c>
      <c r="E177" s="33" t="s">
        <v>73</v>
      </c>
      <c r="F177" s="33" t="s">
        <v>74</v>
      </c>
      <c r="G177" s="33" t="s">
        <v>51</v>
      </c>
      <c r="H177" s="36" t="s">
        <v>52</v>
      </c>
      <c r="I177" s="36" t="s">
        <v>53</v>
      </c>
    </row>
    <row r="178" spans="1:9" x14ac:dyDescent="0.35">
      <c r="A178" s="33">
        <v>102311001</v>
      </c>
      <c r="B178" s="33" t="s">
        <v>12</v>
      </c>
      <c r="C178" s="35">
        <v>46265</v>
      </c>
      <c r="D178" s="33" t="s">
        <v>233</v>
      </c>
      <c r="E178" s="33" t="s">
        <v>73</v>
      </c>
      <c r="F178" s="33" t="s">
        <v>74</v>
      </c>
      <c r="G178" s="33" t="s">
        <v>55</v>
      </c>
      <c r="H178" s="36" t="s">
        <v>56</v>
      </c>
      <c r="I178" s="36" t="s">
        <v>57</v>
      </c>
    </row>
    <row r="179" spans="1:9" x14ac:dyDescent="0.35">
      <c r="A179" s="33">
        <v>102311001</v>
      </c>
      <c r="B179" s="33" t="s">
        <v>12</v>
      </c>
      <c r="C179" s="35">
        <v>46266</v>
      </c>
      <c r="D179" s="33" t="s">
        <v>234</v>
      </c>
      <c r="E179" s="33" t="s">
        <v>73</v>
      </c>
      <c r="F179" s="33" t="s">
        <v>74</v>
      </c>
      <c r="G179" s="33" t="s">
        <v>51</v>
      </c>
      <c r="H179" s="36" t="s">
        <v>52</v>
      </c>
      <c r="I179" s="36" t="s">
        <v>53</v>
      </c>
    </row>
    <row r="180" spans="1:9" x14ac:dyDescent="0.35">
      <c r="A180" s="33">
        <v>102401001</v>
      </c>
      <c r="B180" s="33" t="s">
        <v>15</v>
      </c>
      <c r="C180" s="35">
        <v>46235</v>
      </c>
      <c r="D180" s="33" t="s">
        <v>235</v>
      </c>
      <c r="E180" s="33" t="s">
        <v>69</v>
      </c>
      <c r="F180" s="33" t="s">
        <v>70</v>
      </c>
      <c r="G180" s="33" t="s">
        <v>55</v>
      </c>
      <c r="H180" s="36" t="s">
        <v>56</v>
      </c>
      <c r="I180" s="36" t="s">
        <v>57</v>
      </c>
    </row>
    <row r="181" spans="1:9" x14ac:dyDescent="0.35">
      <c r="A181" s="33">
        <v>102401001</v>
      </c>
      <c r="B181" s="33" t="s">
        <v>15</v>
      </c>
      <c r="C181" s="35">
        <v>46235</v>
      </c>
      <c r="D181" s="33" t="s">
        <v>236</v>
      </c>
      <c r="E181" s="33" t="s">
        <v>69</v>
      </c>
      <c r="F181" s="33" t="s">
        <v>70</v>
      </c>
      <c r="G181" s="33" t="s">
        <v>51</v>
      </c>
      <c r="H181" s="36" t="s">
        <v>52</v>
      </c>
      <c r="I181" s="36" t="s">
        <v>53</v>
      </c>
    </row>
    <row r="182" spans="1:9" x14ac:dyDescent="0.35">
      <c r="A182" s="33">
        <v>102401001</v>
      </c>
      <c r="B182" s="33" t="s">
        <v>15</v>
      </c>
      <c r="C182" s="35">
        <v>46236</v>
      </c>
      <c r="D182" s="33" t="s">
        <v>237</v>
      </c>
      <c r="E182" s="33" t="s">
        <v>69</v>
      </c>
      <c r="F182" s="33" t="s">
        <v>70</v>
      </c>
      <c r="G182" s="33" t="s">
        <v>55</v>
      </c>
      <c r="H182" s="36" t="s">
        <v>56</v>
      </c>
      <c r="I182" s="36" t="s">
        <v>57</v>
      </c>
    </row>
    <row r="183" spans="1:9" x14ac:dyDescent="0.35">
      <c r="A183" s="33">
        <v>102401001</v>
      </c>
      <c r="B183" s="33" t="s">
        <v>15</v>
      </c>
      <c r="C183" s="35">
        <v>46236</v>
      </c>
      <c r="D183" s="33" t="s">
        <v>238</v>
      </c>
      <c r="E183" s="33" t="s">
        <v>69</v>
      </c>
      <c r="F183" s="33" t="s">
        <v>70</v>
      </c>
      <c r="G183" s="33" t="s">
        <v>51</v>
      </c>
      <c r="H183" s="36" t="s">
        <v>52</v>
      </c>
      <c r="I183" s="36" t="s">
        <v>53</v>
      </c>
    </row>
    <row r="184" spans="1:9" x14ac:dyDescent="0.35">
      <c r="A184" s="33">
        <v>102401001</v>
      </c>
      <c r="B184" s="33" t="s">
        <v>15</v>
      </c>
      <c r="C184" s="35">
        <v>46237</v>
      </c>
      <c r="D184" s="33" t="s">
        <v>239</v>
      </c>
      <c r="E184" s="33" t="s">
        <v>69</v>
      </c>
      <c r="F184" s="33" t="s">
        <v>70</v>
      </c>
      <c r="G184" s="33" t="s">
        <v>55</v>
      </c>
      <c r="H184" s="36" t="s">
        <v>56</v>
      </c>
      <c r="I184" s="36" t="s">
        <v>57</v>
      </c>
    </row>
    <row r="185" spans="1:9" x14ac:dyDescent="0.35">
      <c r="A185" s="33">
        <v>102401001</v>
      </c>
      <c r="B185" s="33" t="s">
        <v>15</v>
      </c>
      <c r="C185" s="35">
        <v>46238</v>
      </c>
      <c r="D185" s="33" t="s">
        <v>240</v>
      </c>
      <c r="E185" s="33" t="s">
        <v>69</v>
      </c>
      <c r="F185" s="33" t="s">
        <v>70</v>
      </c>
      <c r="G185" s="33" t="s">
        <v>51</v>
      </c>
      <c r="H185" s="36" t="s">
        <v>52</v>
      </c>
      <c r="I185" s="36" t="s">
        <v>53</v>
      </c>
    </row>
    <row r="186" spans="1:9" x14ac:dyDescent="0.35">
      <c r="A186" s="33">
        <v>102401001</v>
      </c>
      <c r="B186" s="33" t="s">
        <v>15</v>
      </c>
      <c r="C186" s="35">
        <v>46238</v>
      </c>
      <c r="D186" s="33" t="s">
        <v>241</v>
      </c>
      <c r="E186" s="33" t="s">
        <v>69</v>
      </c>
      <c r="F186" s="33" t="s">
        <v>70</v>
      </c>
      <c r="G186" s="33" t="s">
        <v>55</v>
      </c>
      <c r="H186" s="36" t="s">
        <v>56</v>
      </c>
      <c r="I186" s="36" t="s">
        <v>57</v>
      </c>
    </row>
    <row r="187" spans="1:9" x14ac:dyDescent="0.35">
      <c r="A187" s="33">
        <v>102401001</v>
      </c>
      <c r="B187" s="33" t="s">
        <v>15</v>
      </c>
      <c r="C187" s="35">
        <v>46239</v>
      </c>
      <c r="D187" s="33" t="s">
        <v>242</v>
      </c>
      <c r="E187" s="33" t="s">
        <v>69</v>
      </c>
      <c r="F187" s="33" t="s">
        <v>70</v>
      </c>
      <c r="G187" s="33" t="s">
        <v>51</v>
      </c>
      <c r="H187" s="36" t="s">
        <v>52</v>
      </c>
      <c r="I187" s="36" t="s">
        <v>53</v>
      </c>
    </row>
    <row r="188" spans="1:9" x14ac:dyDescent="0.35">
      <c r="A188" s="33">
        <v>102401001</v>
      </c>
      <c r="B188" s="33" t="s">
        <v>15</v>
      </c>
      <c r="C188" s="35">
        <v>46239</v>
      </c>
      <c r="D188" s="33" t="s">
        <v>243</v>
      </c>
      <c r="E188" s="33" t="s">
        <v>69</v>
      </c>
      <c r="F188" s="33" t="s">
        <v>70</v>
      </c>
      <c r="G188" s="33" t="s">
        <v>55</v>
      </c>
      <c r="H188" s="36" t="s">
        <v>56</v>
      </c>
      <c r="I188" s="36" t="s">
        <v>57</v>
      </c>
    </row>
    <row r="189" spans="1:9" x14ac:dyDescent="0.35">
      <c r="A189" s="33">
        <v>102401001</v>
      </c>
      <c r="B189" s="33" t="s">
        <v>15</v>
      </c>
      <c r="C189" s="35">
        <v>46240</v>
      </c>
      <c r="D189" s="33" t="s">
        <v>244</v>
      </c>
      <c r="E189" s="33" t="s">
        <v>69</v>
      </c>
      <c r="F189" s="33" t="s">
        <v>70</v>
      </c>
      <c r="G189" s="33" t="s">
        <v>51</v>
      </c>
      <c r="H189" s="36" t="s">
        <v>52</v>
      </c>
      <c r="I189" s="36" t="s">
        <v>53</v>
      </c>
    </row>
    <row r="190" spans="1:9" x14ac:dyDescent="0.35">
      <c r="A190" s="33">
        <v>102401001</v>
      </c>
      <c r="B190" s="33" t="s">
        <v>15</v>
      </c>
      <c r="C190" s="35">
        <v>46240</v>
      </c>
      <c r="D190" s="33" t="s">
        <v>245</v>
      </c>
      <c r="E190" s="33" t="s">
        <v>69</v>
      </c>
      <c r="F190" s="33" t="s">
        <v>70</v>
      </c>
      <c r="G190" s="33" t="s">
        <v>55</v>
      </c>
      <c r="H190" s="36" t="s">
        <v>56</v>
      </c>
      <c r="I190" s="36" t="s">
        <v>57</v>
      </c>
    </row>
    <row r="191" spans="1:9" x14ac:dyDescent="0.35">
      <c r="A191" s="33">
        <v>102401001</v>
      </c>
      <c r="B191" s="33" t="s">
        <v>15</v>
      </c>
      <c r="C191" s="35">
        <v>46241</v>
      </c>
      <c r="D191" s="33" t="s">
        <v>246</v>
      </c>
      <c r="E191" s="33" t="s">
        <v>69</v>
      </c>
      <c r="F191" s="33" t="s">
        <v>70</v>
      </c>
      <c r="G191" s="33" t="s">
        <v>51</v>
      </c>
      <c r="H191" s="36" t="s">
        <v>52</v>
      </c>
      <c r="I191" s="36" t="s">
        <v>53</v>
      </c>
    </row>
    <row r="192" spans="1:9" x14ac:dyDescent="0.35">
      <c r="A192" s="33">
        <v>102401001</v>
      </c>
      <c r="B192" s="33" t="s">
        <v>15</v>
      </c>
      <c r="C192" s="35">
        <v>46241</v>
      </c>
      <c r="D192" s="33" t="s">
        <v>247</v>
      </c>
      <c r="E192" s="33" t="s">
        <v>69</v>
      </c>
      <c r="F192" s="33" t="s">
        <v>70</v>
      </c>
      <c r="G192" s="33" t="s">
        <v>55</v>
      </c>
      <c r="H192" s="36" t="s">
        <v>56</v>
      </c>
      <c r="I192" s="36" t="s">
        <v>57</v>
      </c>
    </row>
    <row r="193" spans="1:9" x14ac:dyDescent="0.35">
      <c r="A193" s="33">
        <v>102401001</v>
      </c>
      <c r="B193" s="33" t="s">
        <v>15</v>
      </c>
      <c r="C193" s="35">
        <v>46242</v>
      </c>
      <c r="D193" s="33" t="s">
        <v>248</v>
      </c>
      <c r="E193" s="33" t="s">
        <v>69</v>
      </c>
      <c r="F193" s="33" t="s">
        <v>70</v>
      </c>
      <c r="G193" s="33" t="s">
        <v>51</v>
      </c>
      <c r="H193" s="36" t="s">
        <v>52</v>
      </c>
      <c r="I193" s="36" t="s">
        <v>53</v>
      </c>
    </row>
    <row r="194" spans="1:9" x14ac:dyDescent="0.35">
      <c r="A194" s="33">
        <v>102401001</v>
      </c>
      <c r="B194" s="33" t="s">
        <v>15</v>
      </c>
      <c r="C194" s="35">
        <v>46242</v>
      </c>
      <c r="D194" s="33" t="s">
        <v>249</v>
      </c>
      <c r="E194" s="33" t="s">
        <v>69</v>
      </c>
      <c r="F194" s="33" t="s">
        <v>70</v>
      </c>
      <c r="G194" s="33" t="s">
        <v>55</v>
      </c>
      <c r="H194" s="36" t="s">
        <v>56</v>
      </c>
      <c r="I194" s="36" t="s">
        <v>57</v>
      </c>
    </row>
    <row r="195" spans="1:9" x14ac:dyDescent="0.35">
      <c r="A195" s="33">
        <v>102401001</v>
      </c>
      <c r="B195" s="33" t="s">
        <v>15</v>
      </c>
      <c r="C195" s="35">
        <v>46243</v>
      </c>
      <c r="D195" s="33" t="s">
        <v>250</v>
      </c>
      <c r="E195" s="33" t="s">
        <v>69</v>
      </c>
      <c r="F195" s="33" t="s">
        <v>70</v>
      </c>
      <c r="G195" s="33" t="s">
        <v>51</v>
      </c>
      <c r="H195" s="36" t="s">
        <v>52</v>
      </c>
      <c r="I195" s="36" t="s">
        <v>53</v>
      </c>
    </row>
    <row r="196" spans="1:9" x14ac:dyDescent="0.35">
      <c r="A196" s="33">
        <v>102401001</v>
      </c>
      <c r="B196" s="33" t="s">
        <v>15</v>
      </c>
      <c r="C196" s="35">
        <v>46243</v>
      </c>
      <c r="D196" s="33" t="s">
        <v>251</v>
      </c>
      <c r="E196" s="33" t="s">
        <v>69</v>
      </c>
      <c r="F196" s="33" t="s">
        <v>70</v>
      </c>
      <c r="G196" s="33" t="s">
        <v>55</v>
      </c>
      <c r="H196" s="36" t="s">
        <v>56</v>
      </c>
      <c r="I196" s="36" t="s">
        <v>57</v>
      </c>
    </row>
    <row r="197" spans="1:9" x14ac:dyDescent="0.35">
      <c r="A197" s="33">
        <v>102401001</v>
      </c>
      <c r="B197" s="33" t="s">
        <v>15</v>
      </c>
      <c r="C197" s="35">
        <v>46244</v>
      </c>
      <c r="D197" s="33" t="s">
        <v>252</v>
      </c>
      <c r="E197" s="33" t="s">
        <v>69</v>
      </c>
      <c r="F197" s="33" t="s">
        <v>70</v>
      </c>
      <c r="G197" s="33" t="s">
        <v>51</v>
      </c>
      <c r="H197" s="36" t="s">
        <v>52</v>
      </c>
      <c r="I197" s="36" t="s">
        <v>53</v>
      </c>
    </row>
    <row r="198" spans="1:9" x14ac:dyDescent="0.35">
      <c r="A198" s="33">
        <v>102401001</v>
      </c>
      <c r="B198" s="33" t="s">
        <v>15</v>
      </c>
      <c r="C198" s="35">
        <v>46244</v>
      </c>
      <c r="D198" s="33" t="s">
        <v>253</v>
      </c>
      <c r="E198" s="33" t="s">
        <v>69</v>
      </c>
      <c r="F198" s="33" t="s">
        <v>70</v>
      </c>
      <c r="G198" s="33" t="s">
        <v>55</v>
      </c>
      <c r="H198" s="36" t="s">
        <v>56</v>
      </c>
      <c r="I198" s="36" t="s">
        <v>57</v>
      </c>
    </row>
    <row r="199" spans="1:9" x14ac:dyDescent="0.35">
      <c r="A199" s="33">
        <v>102401001</v>
      </c>
      <c r="B199" s="33" t="s">
        <v>15</v>
      </c>
      <c r="C199" s="35">
        <v>46245</v>
      </c>
      <c r="D199" s="33" t="s">
        <v>254</v>
      </c>
      <c r="E199" s="33" t="s">
        <v>69</v>
      </c>
      <c r="F199" s="33" t="s">
        <v>70</v>
      </c>
      <c r="G199" s="33" t="s">
        <v>51</v>
      </c>
      <c r="H199" s="36" t="s">
        <v>52</v>
      </c>
      <c r="I199" s="36" t="s">
        <v>53</v>
      </c>
    </row>
    <row r="200" spans="1:9" x14ac:dyDescent="0.35">
      <c r="A200" s="33">
        <v>102401001</v>
      </c>
      <c r="B200" s="33" t="s">
        <v>15</v>
      </c>
      <c r="C200" s="38">
        <v>46245</v>
      </c>
      <c r="D200" s="36" t="s">
        <v>255</v>
      </c>
      <c r="E200" s="36" t="s">
        <v>69</v>
      </c>
      <c r="F200" s="36" t="s">
        <v>70</v>
      </c>
      <c r="G200" s="36" t="s">
        <v>55</v>
      </c>
      <c r="H200" s="36" t="s">
        <v>56</v>
      </c>
      <c r="I200" s="36" t="s">
        <v>57</v>
      </c>
    </row>
    <row r="201" spans="1:9" x14ac:dyDescent="0.35">
      <c r="A201" s="33">
        <v>102401001</v>
      </c>
      <c r="B201" s="33" t="s">
        <v>15</v>
      </c>
      <c r="C201" s="35">
        <v>46245</v>
      </c>
      <c r="D201" s="33" t="s">
        <v>256</v>
      </c>
      <c r="E201" s="33" t="s">
        <v>69</v>
      </c>
      <c r="F201" s="33" t="s">
        <v>70</v>
      </c>
      <c r="G201" s="33" t="s">
        <v>55</v>
      </c>
      <c r="H201" s="36" t="s">
        <v>56</v>
      </c>
      <c r="I201" s="36" t="s">
        <v>57</v>
      </c>
    </row>
    <row r="202" spans="1:9" x14ac:dyDescent="0.35">
      <c r="A202" s="33">
        <v>102401001</v>
      </c>
      <c r="B202" s="33" t="s">
        <v>15</v>
      </c>
      <c r="C202" s="35">
        <v>46246</v>
      </c>
      <c r="D202" s="33" t="s">
        <v>257</v>
      </c>
      <c r="E202" s="33" t="s">
        <v>69</v>
      </c>
      <c r="F202" s="33" t="s">
        <v>70</v>
      </c>
      <c r="G202" s="33" t="s">
        <v>51</v>
      </c>
      <c r="H202" s="36" t="s">
        <v>52</v>
      </c>
      <c r="I202" s="36" t="s">
        <v>53</v>
      </c>
    </row>
    <row r="203" spans="1:9" x14ac:dyDescent="0.35">
      <c r="A203" s="33">
        <v>102401001</v>
      </c>
      <c r="B203" s="33" t="s">
        <v>15</v>
      </c>
      <c r="C203" s="35">
        <v>46246</v>
      </c>
      <c r="D203" s="33" t="s">
        <v>258</v>
      </c>
      <c r="E203" s="33" t="s">
        <v>69</v>
      </c>
      <c r="F203" s="33" t="s">
        <v>70</v>
      </c>
      <c r="G203" s="33" t="s">
        <v>55</v>
      </c>
      <c r="H203" s="36" t="s">
        <v>56</v>
      </c>
      <c r="I203" s="36" t="s">
        <v>57</v>
      </c>
    </row>
    <row r="204" spans="1:9" x14ac:dyDescent="0.35">
      <c r="A204" s="33">
        <v>102401001</v>
      </c>
      <c r="B204" s="33" t="s">
        <v>15</v>
      </c>
      <c r="C204" s="35">
        <v>46247</v>
      </c>
      <c r="D204" s="33" t="s">
        <v>259</v>
      </c>
      <c r="E204" s="33" t="s">
        <v>69</v>
      </c>
      <c r="F204" s="33" t="s">
        <v>70</v>
      </c>
      <c r="G204" s="33" t="s">
        <v>51</v>
      </c>
      <c r="H204" s="36" t="s">
        <v>52</v>
      </c>
      <c r="I204" s="36" t="s">
        <v>53</v>
      </c>
    </row>
    <row r="205" spans="1:9" x14ac:dyDescent="0.35">
      <c r="A205" s="33">
        <v>102401001</v>
      </c>
      <c r="B205" s="33" t="s">
        <v>15</v>
      </c>
      <c r="C205" s="35">
        <v>46248</v>
      </c>
      <c r="D205" s="33" t="s">
        <v>260</v>
      </c>
      <c r="E205" s="33" t="s">
        <v>69</v>
      </c>
      <c r="F205" s="33" t="s">
        <v>70</v>
      </c>
      <c r="G205" s="33" t="s">
        <v>55</v>
      </c>
      <c r="H205" s="36" t="s">
        <v>56</v>
      </c>
      <c r="I205" s="36" t="s">
        <v>57</v>
      </c>
    </row>
    <row r="206" spans="1:9" x14ac:dyDescent="0.35">
      <c r="A206" s="33">
        <v>102401001</v>
      </c>
      <c r="B206" s="33" t="s">
        <v>15</v>
      </c>
      <c r="C206" s="35">
        <v>46249</v>
      </c>
      <c r="D206" s="33" t="s">
        <v>261</v>
      </c>
      <c r="E206" s="33" t="s">
        <v>49</v>
      </c>
      <c r="F206" s="33" t="s">
        <v>50</v>
      </c>
      <c r="G206" s="33" t="s">
        <v>55</v>
      </c>
      <c r="H206" s="36" t="s">
        <v>56</v>
      </c>
      <c r="I206" s="36" t="s">
        <v>57</v>
      </c>
    </row>
    <row r="207" spans="1:9" x14ac:dyDescent="0.35">
      <c r="A207" s="33">
        <v>102401001</v>
      </c>
      <c r="B207" s="33" t="s">
        <v>15</v>
      </c>
      <c r="C207" s="35">
        <v>46250</v>
      </c>
      <c r="D207" s="33" t="s">
        <v>262</v>
      </c>
      <c r="E207" s="33" t="s">
        <v>49</v>
      </c>
      <c r="F207" s="33" t="s">
        <v>50</v>
      </c>
      <c r="G207" s="33" t="s">
        <v>51</v>
      </c>
      <c r="H207" s="36" t="s">
        <v>52</v>
      </c>
      <c r="I207" s="36" t="s">
        <v>53</v>
      </c>
    </row>
    <row r="208" spans="1:9" x14ac:dyDescent="0.35">
      <c r="A208" s="36">
        <v>202311002</v>
      </c>
      <c r="B208" s="33" t="s">
        <v>13</v>
      </c>
      <c r="C208" s="38">
        <v>46235</v>
      </c>
      <c r="D208" s="36" t="s">
        <v>263</v>
      </c>
      <c r="E208" s="36" t="s">
        <v>264</v>
      </c>
      <c r="F208" s="36" t="s">
        <v>265</v>
      </c>
      <c r="G208" s="36" t="s">
        <v>55</v>
      </c>
      <c r="H208" s="36" t="s">
        <v>56</v>
      </c>
      <c r="I208" s="36" t="s">
        <v>57</v>
      </c>
    </row>
    <row r="209" spans="1:9" x14ac:dyDescent="0.35">
      <c r="A209" s="36">
        <v>202311002</v>
      </c>
      <c r="B209" s="33" t="s">
        <v>13</v>
      </c>
      <c r="C209" s="38">
        <v>46235</v>
      </c>
      <c r="D209" s="36" t="s">
        <v>71</v>
      </c>
      <c r="E209" s="36" t="s">
        <v>264</v>
      </c>
      <c r="F209" s="36" t="s">
        <v>265</v>
      </c>
      <c r="G209" s="36" t="s">
        <v>51</v>
      </c>
      <c r="H209" s="36" t="s">
        <v>52</v>
      </c>
      <c r="I209" s="36" t="s">
        <v>53</v>
      </c>
    </row>
    <row r="210" spans="1:9" x14ac:dyDescent="0.35">
      <c r="A210" s="36">
        <v>202311002</v>
      </c>
      <c r="B210" s="33" t="s">
        <v>13</v>
      </c>
      <c r="C210" s="38">
        <v>46236</v>
      </c>
      <c r="D210" s="36" t="s">
        <v>266</v>
      </c>
      <c r="E210" s="36" t="s">
        <v>264</v>
      </c>
      <c r="F210" s="36" t="s">
        <v>265</v>
      </c>
      <c r="G210" s="36" t="s">
        <v>51</v>
      </c>
      <c r="H210" s="36" t="s">
        <v>52</v>
      </c>
      <c r="I210" s="36" t="s">
        <v>53</v>
      </c>
    </row>
    <row r="211" spans="1:9" x14ac:dyDescent="0.35">
      <c r="A211" s="36">
        <v>202311002</v>
      </c>
      <c r="B211" s="33" t="s">
        <v>13</v>
      </c>
      <c r="C211" s="38">
        <v>46237</v>
      </c>
      <c r="D211" s="36" t="s">
        <v>267</v>
      </c>
      <c r="E211" s="36" t="s">
        <v>264</v>
      </c>
      <c r="F211" s="36" t="s">
        <v>265</v>
      </c>
      <c r="G211" s="36" t="s">
        <v>55</v>
      </c>
      <c r="H211" s="36" t="s">
        <v>56</v>
      </c>
      <c r="I211" s="36" t="s">
        <v>57</v>
      </c>
    </row>
    <row r="212" spans="1:9" x14ac:dyDescent="0.35">
      <c r="A212" s="36">
        <v>202311002</v>
      </c>
      <c r="B212" s="33" t="s">
        <v>13</v>
      </c>
      <c r="C212" s="38">
        <v>46237</v>
      </c>
      <c r="D212" s="36" t="s">
        <v>268</v>
      </c>
      <c r="E212" s="36" t="s">
        <v>264</v>
      </c>
      <c r="F212" s="36" t="s">
        <v>265</v>
      </c>
      <c r="G212" s="36" t="s">
        <v>51</v>
      </c>
      <c r="H212" s="36" t="s">
        <v>52</v>
      </c>
      <c r="I212" s="36" t="s">
        <v>53</v>
      </c>
    </row>
    <row r="213" spans="1:9" x14ac:dyDescent="0.35">
      <c r="A213" s="36">
        <v>202311002</v>
      </c>
      <c r="B213" s="33" t="s">
        <v>13</v>
      </c>
      <c r="C213" s="38">
        <v>46238</v>
      </c>
      <c r="D213" s="36" t="s">
        <v>269</v>
      </c>
      <c r="E213" s="36" t="s">
        <v>264</v>
      </c>
      <c r="F213" s="36" t="s">
        <v>265</v>
      </c>
      <c r="G213" s="36" t="s">
        <v>55</v>
      </c>
      <c r="H213" s="36" t="s">
        <v>56</v>
      </c>
      <c r="I213" s="36" t="s">
        <v>57</v>
      </c>
    </row>
    <row r="214" spans="1:9" x14ac:dyDescent="0.35">
      <c r="A214" s="36">
        <v>202311002</v>
      </c>
      <c r="B214" s="33" t="s">
        <v>13</v>
      </c>
      <c r="C214" s="38">
        <v>46238</v>
      </c>
      <c r="D214" s="36" t="s">
        <v>270</v>
      </c>
      <c r="E214" s="36" t="s">
        <v>264</v>
      </c>
      <c r="F214" s="36" t="s">
        <v>265</v>
      </c>
      <c r="G214" s="36" t="s">
        <v>51</v>
      </c>
      <c r="H214" s="36" t="s">
        <v>52</v>
      </c>
      <c r="I214" s="36" t="s">
        <v>53</v>
      </c>
    </row>
    <row r="215" spans="1:9" x14ac:dyDescent="0.35">
      <c r="A215" s="36">
        <v>202311002</v>
      </c>
      <c r="B215" s="33" t="s">
        <v>13</v>
      </c>
      <c r="C215" s="38">
        <v>46238</v>
      </c>
      <c r="D215" s="36" t="s">
        <v>89</v>
      </c>
      <c r="E215" s="36" t="s">
        <v>264</v>
      </c>
      <c r="F215" s="36" t="s">
        <v>265</v>
      </c>
      <c r="G215" s="36" t="s">
        <v>51</v>
      </c>
      <c r="H215" s="36" t="s">
        <v>52</v>
      </c>
      <c r="I215" s="36" t="s">
        <v>53</v>
      </c>
    </row>
    <row r="216" spans="1:9" x14ac:dyDescent="0.35">
      <c r="A216" s="36">
        <v>202311002</v>
      </c>
      <c r="B216" s="33" t="s">
        <v>13</v>
      </c>
      <c r="C216" s="38">
        <v>46240</v>
      </c>
      <c r="D216" s="36" t="s">
        <v>271</v>
      </c>
      <c r="E216" s="36" t="s">
        <v>264</v>
      </c>
      <c r="F216" s="36" t="s">
        <v>265</v>
      </c>
      <c r="G216" s="36" t="s">
        <v>55</v>
      </c>
      <c r="H216" s="36" t="s">
        <v>56</v>
      </c>
      <c r="I216" s="36" t="s">
        <v>57</v>
      </c>
    </row>
    <row r="217" spans="1:9" x14ac:dyDescent="0.35">
      <c r="A217" s="36">
        <v>202311002</v>
      </c>
      <c r="B217" s="33" t="s">
        <v>13</v>
      </c>
      <c r="C217" s="38">
        <v>46241</v>
      </c>
      <c r="D217" s="36" t="s">
        <v>272</v>
      </c>
      <c r="E217" s="36" t="s">
        <v>264</v>
      </c>
      <c r="F217" s="36" t="s">
        <v>265</v>
      </c>
      <c r="G217" s="36" t="s">
        <v>51</v>
      </c>
      <c r="H217" s="36" t="s">
        <v>52</v>
      </c>
      <c r="I217" s="36" t="s">
        <v>53</v>
      </c>
    </row>
    <row r="218" spans="1:9" x14ac:dyDescent="0.35">
      <c r="A218" s="36">
        <v>202311002</v>
      </c>
      <c r="B218" s="33" t="s">
        <v>13</v>
      </c>
      <c r="C218" s="38">
        <v>46241</v>
      </c>
      <c r="D218" s="36" t="s">
        <v>273</v>
      </c>
      <c r="E218" s="36" t="s">
        <v>264</v>
      </c>
      <c r="F218" s="36" t="s">
        <v>265</v>
      </c>
      <c r="G218" s="36" t="s">
        <v>55</v>
      </c>
      <c r="H218" s="36" t="s">
        <v>56</v>
      </c>
      <c r="I218" s="36" t="s">
        <v>57</v>
      </c>
    </row>
    <row r="219" spans="1:9" x14ac:dyDescent="0.35">
      <c r="A219" s="36">
        <v>202311002</v>
      </c>
      <c r="B219" s="33" t="s">
        <v>13</v>
      </c>
      <c r="C219" s="38">
        <v>46242</v>
      </c>
      <c r="D219" s="36" t="s">
        <v>274</v>
      </c>
      <c r="E219" s="36" t="s">
        <v>264</v>
      </c>
      <c r="F219" s="36" t="s">
        <v>265</v>
      </c>
      <c r="G219" s="36" t="s">
        <v>51</v>
      </c>
      <c r="H219" s="36" t="s">
        <v>52</v>
      </c>
      <c r="I219" s="36" t="s">
        <v>53</v>
      </c>
    </row>
    <row r="220" spans="1:9" x14ac:dyDescent="0.35">
      <c r="A220" s="36">
        <v>202311002</v>
      </c>
      <c r="B220" s="33" t="s">
        <v>13</v>
      </c>
      <c r="C220" s="38">
        <v>46242</v>
      </c>
      <c r="D220" s="36" t="s">
        <v>275</v>
      </c>
      <c r="E220" s="36" t="s">
        <v>264</v>
      </c>
      <c r="F220" s="36" t="s">
        <v>265</v>
      </c>
      <c r="G220" s="36" t="s">
        <v>55</v>
      </c>
      <c r="H220" s="36" t="s">
        <v>56</v>
      </c>
      <c r="I220" s="36" t="s">
        <v>57</v>
      </c>
    </row>
    <row r="221" spans="1:9" x14ac:dyDescent="0.35">
      <c r="A221" s="36">
        <v>202311002</v>
      </c>
      <c r="B221" s="33" t="s">
        <v>13</v>
      </c>
      <c r="C221" s="38">
        <v>46243</v>
      </c>
      <c r="D221" s="36" t="s">
        <v>276</v>
      </c>
      <c r="E221" s="36" t="s">
        <v>264</v>
      </c>
      <c r="F221" s="36" t="s">
        <v>265</v>
      </c>
      <c r="G221" s="36" t="s">
        <v>51</v>
      </c>
      <c r="H221" s="36" t="s">
        <v>52</v>
      </c>
      <c r="I221" s="36" t="s">
        <v>53</v>
      </c>
    </row>
    <row r="222" spans="1:9" x14ac:dyDescent="0.35">
      <c r="A222" s="36">
        <v>202311002</v>
      </c>
      <c r="B222" s="33" t="s">
        <v>13</v>
      </c>
      <c r="C222" s="38">
        <v>46243</v>
      </c>
      <c r="D222" s="36" t="s">
        <v>277</v>
      </c>
      <c r="E222" s="36" t="s">
        <v>264</v>
      </c>
      <c r="F222" s="36" t="s">
        <v>265</v>
      </c>
      <c r="G222" s="36" t="s">
        <v>55</v>
      </c>
      <c r="H222" s="36" t="s">
        <v>56</v>
      </c>
      <c r="I222" s="36" t="s">
        <v>57</v>
      </c>
    </row>
    <row r="223" spans="1:9" x14ac:dyDescent="0.35">
      <c r="A223" s="36">
        <v>202311002</v>
      </c>
      <c r="B223" s="33" t="s">
        <v>13</v>
      </c>
      <c r="C223" s="38">
        <v>46244</v>
      </c>
      <c r="D223" s="36" t="s">
        <v>278</v>
      </c>
      <c r="E223" s="36" t="s">
        <v>264</v>
      </c>
      <c r="F223" s="36" t="s">
        <v>265</v>
      </c>
      <c r="G223" s="36" t="s">
        <v>51</v>
      </c>
      <c r="H223" s="36" t="s">
        <v>52</v>
      </c>
      <c r="I223" s="36" t="s">
        <v>53</v>
      </c>
    </row>
    <row r="224" spans="1:9" x14ac:dyDescent="0.35">
      <c r="A224" s="36">
        <v>202311002</v>
      </c>
      <c r="B224" s="33" t="s">
        <v>13</v>
      </c>
      <c r="C224" s="38">
        <v>46244</v>
      </c>
      <c r="D224" s="36" t="s">
        <v>279</v>
      </c>
      <c r="E224" s="36" t="s">
        <v>264</v>
      </c>
      <c r="F224" s="36" t="s">
        <v>265</v>
      </c>
      <c r="G224" s="36" t="s">
        <v>55</v>
      </c>
      <c r="H224" s="36" t="s">
        <v>56</v>
      </c>
      <c r="I224" s="36" t="s">
        <v>57</v>
      </c>
    </row>
    <row r="225" spans="1:9" x14ac:dyDescent="0.35">
      <c r="A225" s="36">
        <v>202311002</v>
      </c>
      <c r="B225" s="33" t="s">
        <v>13</v>
      </c>
      <c r="C225" s="38">
        <v>46245</v>
      </c>
      <c r="D225" s="36" t="s">
        <v>280</v>
      </c>
      <c r="E225" s="36" t="s">
        <v>264</v>
      </c>
      <c r="F225" s="36" t="s">
        <v>265</v>
      </c>
      <c r="G225" s="36" t="s">
        <v>51</v>
      </c>
      <c r="H225" s="36" t="s">
        <v>52</v>
      </c>
      <c r="I225" s="36" t="s">
        <v>53</v>
      </c>
    </row>
    <row r="226" spans="1:9" x14ac:dyDescent="0.35">
      <c r="A226" s="36">
        <v>202311002</v>
      </c>
      <c r="B226" s="33" t="s">
        <v>13</v>
      </c>
      <c r="C226" s="38">
        <v>46245</v>
      </c>
      <c r="D226" s="36" t="s">
        <v>281</v>
      </c>
      <c r="E226" s="36" t="s">
        <v>264</v>
      </c>
      <c r="F226" s="36" t="s">
        <v>265</v>
      </c>
      <c r="G226" s="36" t="s">
        <v>55</v>
      </c>
      <c r="H226" s="36" t="s">
        <v>56</v>
      </c>
      <c r="I226" s="36" t="s">
        <v>57</v>
      </c>
    </row>
    <row r="227" spans="1:9" x14ac:dyDescent="0.35">
      <c r="A227" s="36">
        <v>202311002</v>
      </c>
      <c r="B227" s="33" t="s">
        <v>13</v>
      </c>
      <c r="C227" s="38">
        <v>46246</v>
      </c>
      <c r="D227" s="36" t="s">
        <v>282</v>
      </c>
      <c r="E227" s="36" t="s">
        <v>264</v>
      </c>
      <c r="F227" s="36" t="s">
        <v>265</v>
      </c>
      <c r="G227" s="36" t="s">
        <v>51</v>
      </c>
      <c r="H227" s="36" t="s">
        <v>52</v>
      </c>
      <c r="I227" s="36" t="s">
        <v>53</v>
      </c>
    </row>
    <row r="228" spans="1:9" x14ac:dyDescent="0.35">
      <c r="A228" s="36">
        <v>202311002</v>
      </c>
      <c r="B228" s="33" t="s">
        <v>13</v>
      </c>
      <c r="C228" s="38">
        <v>46246</v>
      </c>
      <c r="D228" s="36" t="s">
        <v>283</v>
      </c>
      <c r="E228" s="36" t="s">
        <v>264</v>
      </c>
      <c r="F228" s="36" t="s">
        <v>265</v>
      </c>
      <c r="G228" s="36" t="s">
        <v>55</v>
      </c>
      <c r="H228" s="36" t="s">
        <v>56</v>
      </c>
      <c r="I228" s="36" t="s">
        <v>57</v>
      </c>
    </row>
    <row r="229" spans="1:9" x14ac:dyDescent="0.35">
      <c r="A229" s="36">
        <v>202311002</v>
      </c>
      <c r="B229" s="33" t="s">
        <v>13</v>
      </c>
      <c r="C229" s="38">
        <v>46246</v>
      </c>
      <c r="D229" s="36" t="s">
        <v>284</v>
      </c>
      <c r="E229" s="36" t="s">
        <v>264</v>
      </c>
      <c r="F229" s="36" t="s">
        <v>265</v>
      </c>
      <c r="G229" s="36" t="s">
        <v>55</v>
      </c>
      <c r="H229" s="36" t="s">
        <v>56</v>
      </c>
      <c r="I229" s="36" t="s">
        <v>57</v>
      </c>
    </row>
    <row r="230" spans="1:9" x14ac:dyDescent="0.35">
      <c r="A230" s="36">
        <v>202311002</v>
      </c>
      <c r="B230" s="33" t="s">
        <v>13</v>
      </c>
      <c r="C230" s="38">
        <v>46247</v>
      </c>
      <c r="D230" s="36" t="s">
        <v>285</v>
      </c>
      <c r="E230" s="36" t="s">
        <v>264</v>
      </c>
      <c r="F230" s="36" t="s">
        <v>265</v>
      </c>
      <c r="G230" s="36" t="s">
        <v>51</v>
      </c>
      <c r="H230" s="36" t="s">
        <v>52</v>
      </c>
      <c r="I230" s="36" t="s">
        <v>53</v>
      </c>
    </row>
    <row r="231" spans="1:9" x14ac:dyDescent="0.35">
      <c r="A231" s="36">
        <v>202311002</v>
      </c>
      <c r="B231" s="33" t="s">
        <v>13</v>
      </c>
      <c r="C231" s="38">
        <v>46248</v>
      </c>
      <c r="D231" s="36" t="s">
        <v>286</v>
      </c>
      <c r="E231" s="36" t="s">
        <v>264</v>
      </c>
      <c r="F231" s="36" t="s">
        <v>265</v>
      </c>
      <c r="G231" s="36" t="s">
        <v>51</v>
      </c>
      <c r="H231" s="36" t="s">
        <v>52</v>
      </c>
      <c r="I231" s="36" t="s">
        <v>53</v>
      </c>
    </row>
    <row r="232" spans="1:9" x14ac:dyDescent="0.35">
      <c r="A232" s="33">
        <v>202311002</v>
      </c>
      <c r="B232" s="33" t="s">
        <v>13</v>
      </c>
      <c r="C232" s="35">
        <v>46249</v>
      </c>
      <c r="D232" s="33" t="s">
        <v>287</v>
      </c>
      <c r="E232" s="33" t="s">
        <v>264</v>
      </c>
      <c r="F232" s="33" t="s">
        <v>265</v>
      </c>
      <c r="G232" s="33" t="s">
        <v>55</v>
      </c>
      <c r="H232" s="36" t="s">
        <v>56</v>
      </c>
      <c r="I232" s="36" t="s">
        <v>57</v>
      </c>
    </row>
    <row r="233" spans="1:9" x14ac:dyDescent="0.35">
      <c r="A233" s="33">
        <v>202311002</v>
      </c>
      <c r="B233" s="33" t="s">
        <v>13</v>
      </c>
      <c r="C233" s="35">
        <v>46249</v>
      </c>
      <c r="D233" s="33" t="s">
        <v>288</v>
      </c>
      <c r="E233" s="33" t="s">
        <v>264</v>
      </c>
      <c r="F233" s="33" t="s">
        <v>265</v>
      </c>
      <c r="G233" s="33" t="s">
        <v>51</v>
      </c>
      <c r="H233" s="36" t="s">
        <v>52</v>
      </c>
      <c r="I233" s="36" t="s">
        <v>53</v>
      </c>
    </row>
    <row r="234" spans="1:9" x14ac:dyDescent="0.35">
      <c r="A234" s="33">
        <v>202311002</v>
      </c>
      <c r="B234" s="33" t="s">
        <v>13</v>
      </c>
      <c r="C234" s="35">
        <v>46250</v>
      </c>
      <c r="D234" s="33" t="s">
        <v>289</v>
      </c>
      <c r="E234" s="33" t="s">
        <v>264</v>
      </c>
      <c r="F234" s="33" t="s">
        <v>265</v>
      </c>
      <c r="G234" s="33" t="s">
        <v>55</v>
      </c>
      <c r="H234" s="36" t="s">
        <v>56</v>
      </c>
      <c r="I234" s="36" t="s">
        <v>57</v>
      </c>
    </row>
    <row r="235" spans="1:9" x14ac:dyDescent="0.35">
      <c r="A235" s="33">
        <v>202311002</v>
      </c>
      <c r="B235" s="33" t="s">
        <v>13</v>
      </c>
      <c r="C235" s="35">
        <v>46250</v>
      </c>
      <c r="D235" s="33" t="s">
        <v>290</v>
      </c>
      <c r="E235" s="33" t="s">
        <v>264</v>
      </c>
      <c r="F235" s="33" t="s">
        <v>265</v>
      </c>
      <c r="G235" s="33" t="s">
        <v>51</v>
      </c>
      <c r="H235" s="36" t="s">
        <v>52</v>
      </c>
      <c r="I235" s="36" t="s">
        <v>53</v>
      </c>
    </row>
    <row r="236" spans="1:9" x14ac:dyDescent="0.35">
      <c r="A236" s="33">
        <v>202311002</v>
      </c>
      <c r="B236" s="33" t="s">
        <v>13</v>
      </c>
      <c r="C236" s="35">
        <v>46252</v>
      </c>
      <c r="D236" s="33" t="s">
        <v>291</v>
      </c>
      <c r="E236" s="33" t="s">
        <v>264</v>
      </c>
      <c r="F236" s="33" t="s">
        <v>265</v>
      </c>
      <c r="G236" s="33" t="s">
        <v>51</v>
      </c>
      <c r="H236" s="36" t="s">
        <v>52</v>
      </c>
      <c r="I236" s="36" t="s">
        <v>53</v>
      </c>
    </row>
    <row r="237" spans="1:9" x14ac:dyDescent="0.35">
      <c r="A237" s="33">
        <v>202311002</v>
      </c>
      <c r="B237" s="33" t="s">
        <v>13</v>
      </c>
      <c r="C237" s="35">
        <v>46253</v>
      </c>
      <c r="D237" s="33" t="s">
        <v>292</v>
      </c>
      <c r="E237" s="33" t="s">
        <v>264</v>
      </c>
      <c r="F237" s="33" t="s">
        <v>265</v>
      </c>
      <c r="G237" s="33" t="s">
        <v>55</v>
      </c>
      <c r="H237" s="36" t="s">
        <v>56</v>
      </c>
      <c r="I237" s="36" t="s">
        <v>57</v>
      </c>
    </row>
    <row r="238" spans="1:9" x14ac:dyDescent="0.35">
      <c r="A238" s="33">
        <v>202311002</v>
      </c>
      <c r="B238" s="33" t="s">
        <v>13</v>
      </c>
      <c r="C238" s="35">
        <v>46254</v>
      </c>
      <c r="D238" s="33" t="s">
        <v>293</v>
      </c>
      <c r="E238" s="33" t="s">
        <v>264</v>
      </c>
      <c r="F238" s="33" t="s">
        <v>265</v>
      </c>
      <c r="G238" s="33" t="s">
        <v>51</v>
      </c>
      <c r="H238" s="36" t="s">
        <v>52</v>
      </c>
      <c r="I238" s="36" t="s">
        <v>53</v>
      </c>
    </row>
    <row r="239" spans="1:9" x14ac:dyDescent="0.35">
      <c r="A239" s="33">
        <v>202311002</v>
      </c>
      <c r="B239" s="33" t="s">
        <v>13</v>
      </c>
      <c r="C239" s="38">
        <v>46254</v>
      </c>
      <c r="D239" s="36" t="s">
        <v>294</v>
      </c>
      <c r="E239" s="36" t="s">
        <v>264</v>
      </c>
      <c r="F239" s="36" t="s">
        <v>265</v>
      </c>
      <c r="G239" s="36" t="s">
        <v>55</v>
      </c>
      <c r="H239" s="36" t="s">
        <v>56</v>
      </c>
      <c r="I239" s="36" t="s">
        <v>57</v>
      </c>
    </row>
    <row r="240" spans="1:9" x14ac:dyDescent="0.35">
      <c r="A240" s="33">
        <v>202311002</v>
      </c>
      <c r="B240" s="33" t="s">
        <v>13</v>
      </c>
      <c r="C240" s="35">
        <v>46255</v>
      </c>
      <c r="D240" s="33" t="s">
        <v>295</v>
      </c>
      <c r="E240" s="33" t="s">
        <v>264</v>
      </c>
      <c r="F240" s="33" t="s">
        <v>265</v>
      </c>
      <c r="G240" s="33" t="s">
        <v>51</v>
      </c>
      <c r="H240" s="36" t="s">
        <v>52</v>
      </c>
      <c r="I240" s="36" t="s">
        <v>53</v>
      </c>
    </row>
    <row r="241" spans="1:9" x14ac:dyDescent="0.35">
      <c r="A241" s="33">
        <v>202311002</v>
      </c>
      <c r="B241" s="33" t="s">
        <v>13</v>
      </c>
      <c r="C241" s="35">
        <v>46255</v>
      </c>
      <c r="D241" s="33" t="s">
        <v>296</v>
      </c>
      <c r="E241" s="33" t="s">
        <v>264</v>
      </c>
      <c r="F241" s="33" t="s">
        <v>265</v>
      </c>
      <c r="G241" s="33" t="s">
        <v>55</v>
      </c>
      <c r="H241" s="36" t="s">
        <v>56</v>
      </c>
      <c r="I241" s="36" t="s">
        <v>57</v>
      </c>
    </row>
    <row r="242" spans="1:9" x14ac:dyDescent="0.35">
      <c r="A242" s="33">
        <v>202311002</v>
      </c>
      <c r="B242" s="33" t="s">
        <v>13</v>
      </c>
      <c r="C242" s="35">
        <v>46256</v>
      </c>
      <c r="D242" s="33" t="s">
        <v>297</v>
      </c>
      <c r="E242" s="33" t="s">
        <v>264</v>
      </c>
      <c r="F242" s="33" t="s">
        <v>265</v>
      </c>
      <c r="G242" s="33" t="s">
        <v>51</v>
      </c>
      <c r="H242" s="36" t="s">
        <v>52</v>
      </c>
      <c r="I242" s="36" t="s">
        <v>53</v>
      </c>
    </row>
    <row r="243" spans="1:9" x14ac:dyDescent="0.35">
      <c r="A243" s="33">
        <v>202311002</v>
      </c>
      <c r="B243" s="33" t="s">
        <v>13</v>
      </c>
      <c r="C243" s="35">
        <v>46256</v>
      </c>
      <c r="D243" s="33" t="s">
        <v>298</v>
      </c>
      <c r="E243" s="33" t="s">
        <v>264</v>
      </c>
      <c r="F243" s="33" t="s">
        <v>265</v>
      </c>
      <c r="G243" s="33" t="s">
        <v>55</v>
      </c>
      <c r="H243" s="36" t="s">
        <v>56</v>
      </c>
      <c r="I243" s="36" t="s">
        <v>57</v>
      </c>
    </row>
    <row r="244" spans="1:9" x14ac:dyDescent="0.35">
      <c r="A244" s="33">
        <v>202311002</v>
      </c>
      <c r="B244" s="33" t="s">
        <v>13</v>
      </c>
      <c r="C244" s="35">
        <v>46257</v>
      </c>
      <c r="D244" s="33" t="s">
        <v>299</v>
      </c>
      <c r="E244" s="33" t="s">
        <v>264</v>
      </c>
      <c r="F244" s="33" t="s">
        <v>265</v>
      </c>
      <c r="G244" s="33" t="s">
        <v>51</v>
      </c>
      <c r="H244" s="36" t="s">
        <v>52</v>
      </c>
      <c r="I244" s="36" t="s">
        <v>53</v>
      </c>
    </row>
    <row r="245" spans="1:9" x14ac:dyDescent="0.35">
      <c r="A245" s="33">
        <v>202311002</v>
      </c>
      <c r="B245" s="33" t="s">
        <v>13</v>
      </c>
      <c r="C245" s="35">
        <v>46257</v>
      </c>
      <c r="D245" s="33" t="s">
        <v>300</v>
      </c>
      <c r="E245" s="33" t="s">
        <v>264</v>
      </c>
      <c r="F245" s="33" t="s">
        <v>265</v>
      </c>
      <c r="G245" s="33" t="s">
        <v>55</v>
      </c>
      <c r="H245" s="36" t="s">
        <v>56</v>
      </c>
      <c r="I245" s="36" t="s">
        <v>57</v>
      </c>
    </row>
    <row r="246" spans="1:9" x14ac:dyDescent="0.35">
      <c r="A246" s="33">
        <v>202311002</v>
      </c>
      <c r="B246" s="33" t="s">
        <v>13</v>
      </c>
      <c r="C246" s="35">
        <v>46258</v>
      </c>
      <c r="D246" s="33" t="s">
        <v>301</v>
      </c>
      <c r="E246" s="33" t="s">
        <v>264</v>
      </c>
      <c r="F246" s="33" t="s">
        <v>265</v>
      </c>
      <c r="G246" s="33" t="s">
        <v>51</v>
      </c>
      <c r="H246" s="36" t="s">
        <v>52</v>
      </c>
      <c r="I246" s="36" t="s">
        <v>53</v>
      </c>
    </row>
    <row r="247" spans="1:9" x14ac:dyDescent="0.35">
      <c r="A247" s="33">
        <v>202311002</v>
      </c>
      <c r="B247" s="33" t="s">
        <v>13</v>
      </c>
      <c r="C247" s="35">
        <v>46258</v>
      </c>
      <c r="D247" s="33" t="s">
        <v>302</v>
      </c>
      <c r="E247" s="33" t="s">
        <v>264</v>
      </c>
      <c r="F247" s="33" t="s">
        <v>265</v>
      </c>
      <c r="G247" s="33" t="s">
        <v>55</v>
      </c>
      <c r="H247" s="36" t="s">
        <v>56</v>
      </c>
      <c r="I247" s="36" t="s">
        <v>57</v>
      </c>
    </row>
    <row r="248" spans="1:9" x14ac:dyDescent="0.35">
      <c r="A248" s="33">
        <v>202311002</v>
      </c>
      <c r="B248" s="33" t="s">
        <v>13</v>
      </c>
      <c r="C248" s="35">
        <v>46259</v>
      </c>
      <c r="D248" s="33" t="s">
        <v>303</v>
      </c>
      <c r="E248" s="33" t="s">
        <v>264</v>
      </c>
      <c r="F248" s="33" t="s">
        <v>265</v>
      </c>
      <c r="G248" s="33" t="s">
        <v>51</v>
      </c>
      <c r="H248" s="36" t="s">
        <v>52</v>
      </c>
      <c r="I248" s="36" t="s">
        <v>53</v>
      </c>
    </row>
    <row r="249" spans="1:9" x14ac:dyDescent="0.35">
      <c r="A249" s="33">
        <v>202311002</v>
      </c>
      <c r="B249" s="33" t="s">
        <v>13</v>
      </c>
      <c r="C249" s="35">
        <v>46259</v>
      </c>
      <c r="D249" s="33" t="s">
        <v>304</v>
      </c>
      <c r="E249" s="33" t="s">
        <v>264</v>
      </c>
      <c r="F249" s="33" t="s">
        <v>265</v>
      </c>
      <c r="G249" s="33" t="s">
        <v>55</v>
      </c>
      <c r="H249" s="36" t="s">
        <v>56</v>
      </c>
      <c r="I249" s="36" t="s">
        <v>57</v>
      </c>
    </row>
    <row r="250" spans="1:9" x14ac:dyDescent="0.35">
      <c r="A250" s="33">
        <v>202311002</v>
      </c>
      <c r="B250" s="33" t="s">
        <v>13</v>
      </c>
      <c r="C250" s="35">
        <v>46260</v>
      </c>
      <c r="D250" s="33" t="s">
        <v>305</v>
      </c>
      <c r="E250" s="33" t="s">
        <v>264</v>
      </c>
      <c r="F250" s="33" t="s">
        <v>265</v>
      </c>
      <c r="G250" s="33" t="s">
        <v>51</v>
      </c>
      <c r="H250" s="36" t="s">
        <v>52</v>
      </c>
      <c r="I250" s="36" t="s">
        <v>53</v>
      </c>
    </row>
    <row r="251" spans="1:9" x14ac:dyDescent="0.35">
      <c r="A251" s="33">
        <v>202311002</v>
      </c>
      <c r="B251" s="33" t="s">
        <v>13</v>
      </c>
      <c r="C251" s="35">
        <v>46260</v>
      </c>
      <c r="D251" s="33" t="s">
        <v>306</v>
      </c>
      <c r="E251" s="33" t="s">
        <v>264</v>
      </c>
      <c r="F251" s="33" t="s">
        <v>265</v>
      </c>
      <c r="G251" s="33" t="s">
        <v>55</v>
      </c>
      <c r="H251" s="36" t="s">
        <v>56</v>
      </c>
      <c r="I251" s="36" t="s">
        <v>57</v>
      </c>
    </row>
    <row r="252" spans="1:9" x14ac:dyDescent="0.35">
      <c r="A252" s="33">
        <v>202311002</v>
      </c>
      <c r="B252" s="33" t="s">
        <v>13</v>
      </c>
      <c r="C252" s="35">
        <v>46261</v>
      </c>
      <c r="D252" s="33" t="s">
        <v>307</v>
      </c>
      <c r="E252" s="33" t="s">
        <v>264</v>
      </c>
      <c r="F252" s="33" t="s">
        <v>265</v>
      </c>
      <c r="G252" s="33" t="s">
        <v>51</v>
      </c>
      <c r="H252" s="36" t="s">
        <v>52</v>
      </c>
      <c r="I252" s="36" t="s">
        <v>53</v>
      </c>
    </row>
    <row r="253" spans="1:9" x14ac:dyDescent="0.35">
      <c r="A253" s="33">
        <v>202311002</v>
      </c>
      <c r="B253" s="33" t="s">
        <v>13</v>
      </c>
      <c r="C253" s="35">
        <v>46261</v>
      </c>
      <c r="D253" s="33" t="s">
        <v>308</v>
      </c>
      <c r="E253" s="33" t="s">
        <v>264</v>
      </c>
      <c r="F253" s="33" t="s">
        <v>265</v>
      </c>
      <c r="G253" s="33" t="s">
        <v>55</v>
      </c>
      <c r="H253" s="36" t="s">
        <v>56</v>
      </c>
      <c r="I253" s="36" t="s">
        <v>57</v>
      </c>
    </row>
    <row r="254" spans="1:9" x14ac:dyDescent="0.35">
      <c r="A254" s="33">
        <v>202311002</v>
      </c>
      <c r="B254" s="33" t="s">
        <v>13</v>
      </c>
      <c r="C254" s="35">
        <v>46262</v>
      </c>
      <c r="D254" s="33" t="s">
        <v>309</v>
      </c>
      <c r="E254" s="33" t="s">
        <v>264</v>
      </c>
      <c r="F254" s="33" t="s">
        <v>265</v>
      </c>
      <c r="G254" s="33" t="s">
        <v>51</v>
      </c>
      <c r="H254" s="36" t="s">
        <v>52</v>
      </c>
      <c r="I254" s="36" t="s">
        <v>53</v>
      </c>
    </row>
    <row r="255" spans="1:9" x14ac:dyDescent="0.35">
      <c r="A255" s="33">
        <v>202311002</v>
      </c>
      <c r="B255" s="33" t="s">
        <v>13</v>
      </c>
      <c r="C255" s="35">
        <v>46262</v>
      </c>
      <c r="D255" s="33" t="s">
        <v>310</v>
      </c>
      <c r="E255" s="33" t="s">
        <v>264</v>
      </c>
      <c r="F255" s="33" t="s">
        <v>265</v>
      </c>
      <c r="G255" s="33" t="s">
        <v>55</v>
      </c>
      <c r="H255" s="36" t="s">
        <v>56</v>
      </c>
      <c r="I255" s="36" t="s">
        <v>57</v>
      </c>
    </row>
    <row r="256" spans="1:9" x14ac:dyDescent="0.35">
      <c r="A256" s="33">
        <v>202311002</v>
      </c>
      <c r="B256" s="33" t="s">
        <v>13</v>
      </c>
      <c r="C256" s="35">
        <v>46263</v>
      </c>
      <c r="D256" s="33" t="s">
        <v>48</v>
      </c>
      <c r="E256" s="33" t="s">
        <v>264</v>
      </c>
      <c r="F256" s="33" t="s">
        <v>265</v>
      </c>
      <c r="G256" s="33" t="s">
        <v>51</v>
      </c>
      <c r="H256" s="36" t="s">
        <v>52</v>
      </c>
      <c r="I256" s="36" t="s">
        <v>53</v>
      </c>
    </row>
    <row r="257" spans="1:9" x14ac:dyDescent="0.35">
      <c r="A257" s="33">
        <v>202311002</v>
      </c>
      <c r="B257" s="33" t="s">
        <v>13</v>
      </c>
      <c r="C257" s="35">
        <v>46263</v>
      </c>
      <c r="D257" s="33" t="s">
        <v>311</v>
      </c>
      <c r="E257" s="33" t="s">
        <v>264</v>
      </c>
      <c r="F257" s="33" t="s">
        <v>265</v>
      </c>
      <c r="G257" s="33" t="s">
        <v>55</v>
      </c>
      <c r="H257" s="36" t="s">
        <v>56</v>
      </c>
      <c r="I257" s="36" t="s">
        <v>57</v>
      </c>
    </row>
    <row r="258" spans="1:9" x14ac:dyDescent="0.35">
      <c r="A258" s="33">
        <v>202311002</v>
      </c>
      <c r="B258" s="33" t="s">
        <v>13</v>
      </c>
      <c r="C258" s="35">
        <v>46264</v>
      </c>
      <c r="D258" s="33" t="s">
        <v>312</v>
      </c>
      <c r="E258" s="33" t="s">
        <v>264</v>
      </c>
      <c r="F258" s="33" t="s">
        <v>265</v>
      </c>
      <c r="G258" s="33" t="s">
        <v>51</v>
      </c>
      <c r="H258" s="36" t="s">
        <v>52</v>
      </c>
      <c r="I258" s="36" t="s">
        <v>53</v>
      </c>
    </row>
    <row r="259" spans="1:9" x14ac:dyDescent="0.35">
      <c r="A259" s="33">
        <v>202311002</v>
      </c>
      <c r="B259" s="33" t="s">
        <v>13</v>
      </c>
      <c r="C259" s="35">
        <v>46265</v>
      </c>
      <c r="D259" s="33" t="s">
        <v>313</v>
      </c>
      <c r="E259" s="33" t="s">
        <v>264</v>
      </c>
      <c r="F259" s="33" t="s">
        <v>265</v>
      </c>
      <c r="G259" s="33" t="s">
        <v>55</v>
      </c>
      <c r="H259" s="36" t="s">
        <v>56</v>
      </c>
      <c r="I259" s="36" t="s">
        <v>57</v>
      </c>
    </row>
    <row r="260" spans="1:9" x14ac:dyDescent="0.35">
      <c r="A260" s="33">
        <v>202311002</v>
      </c>
      <c r="B260" s="33" t="s">
        <v>13</v>
      </c>
      <c r="C260" s="35">
        <v>46265</v>
      </c>
      <c r="D260" s="33" t="s">
        <v>314</v>
      </c>
      <c r="E260" s="33" t="s">
        <v>264</v>
      </c>
      <c r="F260" s="33" t="s">
        <v>265</v>
      </c>
      <c r="G260" s="33" t="s">
        <v>51</v>
      </c>
      <c r="H260" s="36" t="s">
        <v>52</v>
      </c>
      <c r="I260" s="36" t="s">
        <v>53</v>
      </c>
    </row>
    <row r="261" spans="1:9" x14ac:dyDescent="0.35">
      <c r="A261" s="33"/>
      <c r="B261" s="34"/>
      <c r="C261" s="35"/>
      <c r="D261" s="33"/>
      <c r="E261" s="33"/>
      <c r="F261" s="33"/>
      <c r="G261" s="33"/>
      <c r="H261" s="36"/>
      <c r="I261" s="36"/>
    </row>
    <row r="262" spans="1:9" x14ac:dyDescent="0.35">
      <c r="A262" s="33"/>
      <c r="B262" s="34"/>
      <c r="C262" s="35"/>
      <c r="D262" s="33"/>
      <c r="E262" s="33"/>
      <c r="F262" s="33"/>
      <c r="G262" s="33"/>
      <c r="H262" s="36"/>
      <c r="I262" s="36"/>
    </row>
    <row r="263" spans="1:9" x14ac:dyDescent="0.35">
      <c r="A263" s="33"/>
      <c r="B263" s="34"/>
      <c r="C263" s="35"/>
      <c r="D263" s="33"/>
      <c r="E263" s="33"/>
      <c r="F263" s="33"/>
      <c r="G263" s="33"/>
      <c r="H263" s="36"/>
      <c r="I263" s="36"/>
    </row>
    <row r="264" spans="1:9" x14ac:dyDescent="0.35">
      <c r="A264" s="33"/>
      <c r="B264" s="34"/>
      <c r="C264" s="35"/>
      <c r="D264" s="33"/>
      <c r="E264" s="33"/>
      <c r="F264" s="33"/>
      <c r="G264" s="33"/>
      <c r="H264" s="36"/>
      <c r="I264" s="36"/>
    </row>
    <row r="265" spans="1:9" x14ac:dyDescent="0.35">
      <c r="A265" s="33"/>
      <c r="B265" s="34"/>
      <c r="C265" s="35"/>
      <c r="D265" s="33"/>
      <c r="E265" s="33"/>
      <c r="F265" s="33"/>
      <c r="G265" s="33"/>
      <c r="H265" s="36"/>
      <c r="I265" s="36"/>
    </row>
    <row r="266" spans="1:9" x14ac:dyDescent="0.35">
      <c r="A266" s="33"/>
      <c r="B266" s="34"/>
      <c r="C266" s="35"/>
      <c r="D266" s="33"/>
      <c r="E266" s="33"/>
      <c r="F266" s="33"/>
      <c r="G266" s="33"/>
      <c r="H266" s="36"/>
      <c r="I266" s="36"/>
    </row>
    <row r="267" spans="1:9" x14ac:dyDescent="0.35">
      <c r="A267" s="33"/>
      <c r="B267" s="34"/>
      <c r="C267" s="35"/>
      <c r="D267" s="33"/>
      <c r="E267" s="33"/>
      <c r="F267" s="33"/>
      <c r="G267" s="33"/>
      <c r="H267" s="36"/>
      <c r="I267" s="36"/>
    </row>
    <row r="268" spans="1:9" x14ac:dyDescent="0.35">
      <c r="A268" s="33"/>
      <c r="B268" s="37"/>
      <c r="C268" s="38"/>
      <c r="D268" s="36"/>
      <c r="E268" s="36"/>
      <c r="F268" s="36"/>
      <c r="G268" s="36"/>
      <c r="H268" s="36"/>
      <c r="I268" s="36"/>
    </row>
    <row r="269" spans="1:9" x14ac:dyDescent="0.35">
      <c r="A269" s="33"/>
      <c r="B269" s="34"/>
      <c r="C269" s="35"/>
      <c r="D269" s="33"/>
      <c r="E269" s="33"/>
      <c r="F269" s="33"/>
      <c r="G269" s="33"/>
      <c r="H269" s="36"/>
      <c r="I269" s="36"/>
    </row>
    <row r="270" spans="1:9" x14ac:dyDescent="0.35">
      <c r="A270" s="33"/>
      <c r="B270" s="34"/>
      <c r="C270" s="35"/>
      <c r="D270" s="33"/>
      <c r="E270" s="33"/>
      <c r="F270" s="33"/>
      <c r="G270" s="33"/>
      <c r="H270" s="36"/>
      <c r="I270" s="36"/>
    </row>
    <row r="271" spans="1:9" x14ac:dyDescent="0.35">
      <c r="A271" s="33"/>
      <c r="B271" s="34"/>
      <c r="C271" s="35"/>
      <c r="D271" s="33"/>
      <c r="E271" s="33"/>
      <c r="F271" s="33"/>
      <c r="G271" s="33"/>
      <c r="H271" s="36"/>
      <c r="I271" s="36"/>
    </row>
    <row r="272" spans="1:9" x14ac:dyDescent="0.35">
      <c r="A272" s="33"/>
      <c r="B272" s="34"/>
      <c r="C272" s="35"/>
      <c r="D272" s="33"/>
      <c r="E272" s="33"/>
      <c r="F272" s="33"/>
      <c r="G272" s="33"/>
      <c r="H272" s="36"/>
      <c r="I272" s="36"/>
    </row>
    <row r="273" spans="1:9" x14ac:dyDescent="0.35">
      <c r="A273" s="33"/>
      <c r="B273" s="34"/>
      <c r="C273" s="35"/>
      <c r="D273" s="33"/>
      <c r="E273" s="33"/>
      <c r="F273" s="33"/>
      <c r="G273" s="33"/>
      <c r="H273" s="36"/>
      <c r="I273" s="36"/>
    </row>
    <row r="274" spans="1:9" x14ac:dyDescent="0.35">
      <c r="A274" s="33"/>
      <c r="B274" s="37"/>
      <c r="C274" s="38"/>
      <c r="D274" s="36"/>
      <c r="E274" s="36"/>
      <c r="F274" s="36"/>
      <c r="G274" s="36"/>
      <c r="H274" s="36"/>
      <c r="I274" s="36"/>
    </row>
    <row r="275" spans="1:9" x14ac:dyDescent="0.35">
      <c r="A275" s="33"/>
      <c r="B275" s="34"/>
      <c r="C275" s="35"/>
      <c r="D275" s="33"/>
      <c r="E275" s="33"/>
      <c r="F275" s="33"/>
      <c r="G275" s="33"/>
      <c r="H275" s="36"/>
      <c r="I275" s="36"/>
    </row>
    <row r="276" spans="1:9" x14ac:dyDescent="0.35">
      <c r="A276" s="33"/>
      <c r="B276" s="34"/>
      <c r="C276" s="35"/>
      <c r="D276" s="33"/>
      <c r="E276" s="33"/>
      <c r="F276" s="33"/>
      <c r="G276" s="33"/>
      <c r="H276" s="36"/>
      <c r="I276" s="36"/>
    </row>
    <row r="277" spans="1:9" x14ac:dyDescent="0.35">
      <c r="A277" s="33"/>
      <c r="B277" s="34"/>
      <c r="C277" s="35"/>
      <c r="D277" s="33"/>
      <c r="E277" s="33"/>
      <c r="F277" s="33"/>
      <c r="G277" s="33"/>
      <c r="H277" s="36"/>
      <c r="I277" s="36"/>
    </row>
    <row r="278" spans="1:9" x14ac:dyDescent="0.35">
      <c r="A278" s="33"/>
      <c r="B278" s="34"/>
      <c r="C278" s="35"/>
      <c r="D278" s="33"/>
      <c r="E278" s="33"/>
      <c r="F278" s="33"/>
      <c r="G278" s="33"/>
      <c r="H278" s="36"/>
      <c r="I278" s="36"/>
    </row>
    <row r="279" spans="1:9" x14ac:dyDescent="0.35">
      <c r="A279" s="33"/>
      <c r="B279" s="34"/>
      <c r="C279" s="35"/>
      <c r="D279" s="33"/>
      <c r="E279" s="33"/>
      <c r="F279" s="33"/>
      <c r="G279" s="33"/>
      <c r="H279" s="36"/>
      <c r="I279" s="36"/>
    </row>
    <row r="280" spans="1:9" x14ac:dyDescent="0.35">
      <c r="A280" s="33"/>
      <c r="B280" s="34"/>
      <c r="C280" s="35"/>
      <c r="D280" s="33"/>
      <c r="E280" s="33"/>
      <c r="F280" s="33"/>
      <c r="G280" s="33"/>
      <c r="H280" s="36"/>
      <c r="I280" s="36"/>
    </row>
    <row r="281" spans="1:9" x14ac:dyDescent="0.35">
      <c r="A281" s="33"/>
      <c r="B281" s="34"/>
      <c r="C281" s="35"/>
      <c r="D281" s="33"/>
      <c r="E281" s="33"/>
      <c r="F281" s="33"/>
      <c r="G281" s="33"/>
      <c r="H281" s="36"/>
      <c r="I281" s="36"/>
    </row>
    <row r="282" spans="1:9" x14ac:dyDescent="0.35">
      <c r="A282" s="33"/>
      <c r="B282" s="34"/>
      <c r="C282" s="35"/>
      <c r="D282" s="33"/>
      <c r="E282" s="33"/>
      <c r="F282" s="33"/>
      <c r="G282" s="33"/>
      <c r="H282" s="36"/>
      <c r="I282" s="36"/>
    </row>
    <row r="283" spans="1:9" x14ac:dyDescent="0.35">
      <c r="A283" s="33"/>
      <c r="B283" s="34"/>
      <c r="C283" s="35"/>
      <c r="D283" s="33"/>
      <c r="E283" s="33"/>
      <c r="F283" s="33"/>
      <c r="G283" s="33"/>
      <c r="H283" s="36"/>
      <c r="I283" s="36"/>
    </row>
    <row r="284" spans="1:9" x14ac:dyDescent="0.35">
      <c r="A284" s="33"/>
      <c r="B284" s="34"/>
      <c r="C284" s="35"/>
      <c r="D284" s="33"/>
      <c r="E284" s="33"/>
      <c r="F284" s="33"/>
      <c r="G284" s="33"/>
      <c r="H284" s="36"/>
      <c r="I284" s="36"/>
    </row>
    <row r="285" spans="1:9" x14ac:dyDescent="0.35">
      <c r="A285" s="33"/>
      <c r="B285" s="34"/>
      <c r="C285" s="35"/>
      <c r="D285" s="33"/>
      <c r="E285" s="33"/>
      <c r="F285" s="33"/>
      <c r="G285" s="33"/>
      <c r="H285" s="36"/>
      <c r="I285" s="36"/>
    </row>
    <row r="286" spans="1:9" x14ac:dyDescent="0.35">
      <c r="A286" s="33"/>
      <c r="B286" s="34"/>
      <c r="C286" s="35"/>
      <c r="D286" s="33"/>
      <c r="E286" s="33"/>
      <c r="F286" s="33"/>
      <c r="G286" s="33"/>
      <c r="H286" s="36"/>
      <c r="I286" s="36"/>
    </row>
    <row r="287" spans="1:9" x14ac:dyDescent="0.35">
      <c r="A287" s="33"/>
      <c r="B287" s="34"/>
      <c r="C287" s="35"/>
      <c r="D287" s="33"/>
      <c r="E287" s="33"/>
      <c r="F287" s="33"/>
      <c r="G287" s="33"/>
      <c r="H287" s="36"/>
      <c r="I287" s="36"/>
    </row>
    <row r="288" spans="1:9" x14ac:dyDescent="0.35">
      <c r="A288" s="33"/>
      <c r="B288" s="37"/>
      <c r="C288" s="38"/>
      <c r="D288" s="36"/>
      <c r="E288" s="36"/>
      <c r="F288" s="36"/>
      <c r="G288" s="36"/>
      <c r="H288" s="36"/>
      <c r="I288" s="36"/>
    </row>
    <row r="289" spans="1:9" x14ac:dyDescent="0.35">
      <c r="A289" s="33"/>
      <c r="B289" s="34"/>
      <c r="C289" s="35"/>
      <c r="D289" s="33"/>
      <c r="E289" s="33"/>
      <c r="F289" s="33"/>
      <c r="G289" s="33"/>
      <c r="H289" s="36"/>
      <c r="I289" s="36"/>
    </row>
    <row r="290" spans="1:9" x14ac:dyDescent="0.35">
      <c r="A290" s="33"/>
      <c r="B290" s="34"/>
      <c r="C290" s="35"/>
      <c r="D290" s="33"/>
      <c r="E290" s="33"/>
      <c r="F290" s="33"/>
      <c r="G290" s="33"/>
      <c r="H290" s="36"/>
      <c r="I290" s="36"/>
    </row>
    <row r="291" spans="1:9" x14ac:dyDescent="0.35">
      <c r="A291" s="33"/>
      <c r="B291" s="34"/>
      <c r="C291" s="35"/>
      <c r="D291" s="33"/>
      <c r="E291" s="33"/>
      <c r="F291" s="33"/>
      <c r="G291" s="33"/>
      <c r="H291" s="36"/>
      <c r="I291" s="36"/>
    </row>
    <row r="292" spans="1:9" x14ac:dyDescent="0.35">
      <c r="A292" s="36"/>
      <c r="B292" s="37"/>
      <c r="C292" s="38"/>
      <c r="D292" s="36"/>
      <c r="E292" s="36"/>
      <c r="F292" s="36"/>
      <c r="G292" s="36"/>
      <c r="H292" s="36"/>
      <c r="I292" s="36"/>
    </row>
    <row r="293" spans="1:9" x14ac:dyDescent="0.35">
      <c r="A293" s="33"/>
      <c r="B293" s="34"/>
      <c r="C293" s="35"/>
      <c r="D293" s="33"/>
      <c r="E293" s="33"/>
      <c r="F293" s="33"/>
      <c r="G293" s="33"/>
      <c r="H293" s="36"/>
      <c r="I293" s="36"/>
    </row>
    <row r="294" spans="1:9" x14ac:dyDescent="0.35">
      <c r="A294" s="33"/>
      <c r="B294" s="34"/>
      <c r="C294" s="35"/>
      <c r="D294" s="33"/>
      <c r="E294" s="33"/>
      <c r="F294" s="33"/>
      <c r="G294" s="33"/>
      <c r="H294" s="36"/>
      <c r="I294" s="36"/>
    </row>
    <row r="295" spans="1:9" x14ac:dyDescent="0.35">
      <c r="A295" s="33"/>
      <c r="B295" s="34"/>
      <c r="C295" s="35"/>
      <c r="D295" s="33"/>
      <c r="E295" s="33"/>
      <c r="F295" s="33"/>
      <c r="G295" s="33"/>
      <c r="H295" s="36"/>
      <c r="I295" s="36"/>
    </row>
    <row r="296" spans="1:9" x14ac:dyDescent="0.35">
      <c r="A296" s="33"/>
      <c r="B296" s="34"/>
      <c r="C296" s="35"/>
      <c r="D296" s="33"/>
      <c r="E296" s="33"/>
      <c r="F296" s="33"/>
      <c r="G296" s="33"/>
      <c r="H296" s="36"/>
      <c r="I296" s="36"/>
    </row>
    <row r="297" spans="1:9" x14ac:dyDescent="0.35">
      <c r="A297" s="33"/>
      <c r="B297" s="34"/>
      <c r="C297" s="35"/>
      <c r="D297" s="33"/>
      <c r="E297" s="33"/>
      <c r="F297" s="33"/>
      <c r="G297" s="33"/>
      <c r="H297" s="36"/>
      <c r="I297" s="36"/>
    </row>
    <row r="298" spans="1:9" x14ac:dyDescent="0.35">
      <c r="A298" s="33"/>
      <c r="B298" s="34"/>
      <c r="C298" s="35"/>
      <c r="D298" s="33"/>
      <c r="E298" s="33"/>
      <c r="F298" s="33"/>
      <c r="G298" s="33"/>
      <c r="H298" s="36"/>
      <c r="I298" s="36"/>
    </row>
    <row r="299" spans="1:9" x14ac:dyDescent="0.35">
      <c r="A299" s="33"/>
      <c r="B299" s="34"/>
      <c r="C299" s="35"/>
      <c r="D299" s="33"/>
      <c r="E299" s="33"/>
      <c r="F299" s="33"/>
      <c r="G299" s="33"/>
      <c r="H299" s="36"/>
      <c r="I299" s="36"/>
    </row>
    <row r="300" spans="1:9" x14ac:dyDescent="0.35">
      <c r="A300" s="33"/>
      <c r="B300" s="34"/>
      <c r="C300" s="35"/>
      <c r="D300" s="33"/>
      <c r="E300" s="33"/>
      <c r="F300" s="33"/>
      <c r="G300" s="33"/>
      <c r="H300" s="36"/>
      <c r="I300" s="36"/>
    </row>
    <row r="301" spans="1:9" x14ac:dyDescent="0.35">
      <c r="A301" s="33"/>
      <c r="B301" s="34"/>
      <c r="C301" s="35"/>
      <c r="D301" s="33"/>
      <c r="E301" s="33"/>
      <c r="F301" s="33"/>
      <c r="G301" s="33"/>
      <c r="H301" s="36"/>
      <c r="I301" s="36"/>
    </row>
    <row r="302" spans="1:9" x14ac:dyDescent="0.35">
      <c r="A302" s="33"/>
      <c r="B302" s="34"/>
      <c r="C302" s="35"/>
      <c r="D302" s="33"/>
      <c r="E302" s="33"/>
      <c r="F302" s="33"/>
      <c r="G302" s="33"/>
      <c r="H302" s="36"/>
      <c r="I302" s="36"/>
    </row>
    <row r="303" spans="1:9" x14ac:dyDescent="0.35">
      <c r="A303" s="33"/>
      <c r="B303" s="34"/>
      <c r="C303" s="35"/>
      <c r="D303" s="33"/>
      <c r="E303" s="33"/>
      <c r="F303" s="33"/>
      <c r="G303" s="33"/>
      <c r="H303" s="36"/>
      <c r="I303" s="36"/>
    </row>
    <row r="304" spans="1:9" x14ac:dyDescent="0.35">
      <c r="A304" s="33"/>
      <c r="B304" s="34"/>
      <c r="C304" s="35"/>
      <c r="D304" s="33"/>
      <c r="E304" s="33"/>
      <c r="F304" s="33"/>
      <c r="G304" s="33"/>
      <c r="H304" s="36"/>
      <c r="I304" s="36"/>
    </row>
    <row r="305" spans="1:9" x14ac:dyDescent="0.35">
      <c r="A305" s="33"/>
      <c r="B305" s="34"/>
      <c r="C305" s="35"/>
      <c r="D305" s="33"/>
      <c r="E305" s="33"/>
      <c r="F305" s="33"/>
      <c r="G305" s="33"/>
      <c r="H305" s="36"/>
      <c r="I305" s="36"/>
    </row>
    <row r="306" spans="1:9" x14ac:dyDescent="0.35">
      <c r="A306" s="33"/>
      <c r="B306" s="34"/>
      <c r="C306" s="35"/>
      <c r="D306" s="33"/>
      <c r="E306" s="33"/>
      <c r="F306" s="33"/>
      <c r="G306" s="33"/>
      <c r="H306" s="36"/>
      <c r="I306" s="36"/>
    </row>
    <row r="307" spans="1:9" x14ac:dyDescent="0.35">
      <c r="A307" s="33"/>
      <c r="B307" s="34"/>
      <c r="C307" s="35"/>
      <c r="D307" s="33"/>
      <c r="E307" s="33"/>
      <c r="F307" s="33"/>
      <c r="G307" s="33"/>
      <c r="H307" s="36"/>
      <c r="I307" s="36"/>
    </row>
    <row r="308" spans="1:9" x14ac:dyDescent="0.35">
      <c r="A308" s="33"/>
      <c r="B308" s="34"/>
      <c r="C308" s="35"/>
      <c r="D308" s="33"/>
      <c r="E308" s="33"/>
      <c r="F308" s="33"/>
      <c r="G308" s="33"/>
      <c r="H308" s="36"/>
      <c r="I308" s="36"/>
    </row>
    <row r="309" spans="1:9" x14ac:dyDescent="0.35">
      <c r="A309" s="33"/>
      <c r="B309" s="34"/>
      <c r="C309" s="35"/>
      <c r="D309" s="33"/>
      <c r="E309" s="33"/>
      <c r="F309" s="33"/>
      <c r="G309" s="33"/>
      <c r="H309" s="36"/>
      <c r="I309" s="36"/>
    </row>
    <row r="310" spans="1:9" x14ac:dyDescent="0.35">
      <c r="A310" s="33"/>
      <c r="B310" s="34"/>
      <c r="C310" s="35"/>
      <c r="D310" s="33"/>
      <c r="E310" s="33"/>
      <c r="F310" s="33"/>
      <c r="G310" s="33"/>
      <c r="H310" s="36"/>
      <c r="I310" s="36"/>
    </row>
    <row r="311" spans="1:9" x14ac:dyDescent="0.35">
      <c r="A311" s="33"/>
      <c r="B311" s="34"/>
      <c r="C311" s="35"/>
      <c r="D311" s="33"/>
      <c r="E311" s="33"/>
      <c r="F311" s="33"/>
      <c r="G311" s="33"/>
      <c r="H311" s="36"/>
      <c r="I311" s="36"/>
    </row>
    <row r="312" spans="1:9" x14ac:dyDescent="0.35">
      <c r="A312" s="33"/>
      <c r="B312" s="34"/>
      <c r="C312" s="35"/>
      <c r="D312" s="33"/>
      <c r="E312" s="33"/>
      <c r="F312" s="33"/>
      <c r="G312" s="33"/>
      <c r="H312" s="36"/>
      <c r="I312" s="36"/>
    </row>
    <row r="313" spans="1:9" x14ac:dyDescent="0.35">
      <c r="A313" s="33"/>
      <c r="B313" s="34"/>
      <c r="C313" s="35"/>
      <c r="D313" s="33"/>
      <c r="E313" s="33"/>
      <c r="F313" s="33"/>
      <c r="G313" s="33"/>
      <c r="H313" s="36"/>
      <c r="I313" s="36"/>
    </row>
    <row r="314" spans="1:9" x14ac:dyDescent="0.35">
      <c r="A314" s="33"/>
      <c r="B314" s="34"/>
      <c r="C314" s="35"/>
      <c r="D314" s="33"/>
      <c r="E314" s="33"/>
      <c r="F314" s="33"/>
      <c r="G314" s="33"/>
      <c r="H314" s="36"/>
      <c r="I314" s="36"/>
    </row>
    <row r="315" spans="1:9" x14ac:dyDescent="0.35">
      <c r="A315" s="33"/>
      <c r="B315" s="34"/>
      <c r="C315" s="35"/>
      <c r="D315" s="33"/>
      <c r="E315" s="33"/>
      <c r="F315" s="33"/>
      <c r="G315" s="33"/>
      <c r="H315" s="36"/>
      <c r="I315" s="36"/>
    </row>
    <row r="316" spans="1:9" x14ac:dyDescent="0.35">
      <c r="A316" s="33"/>
      <c r="B316" s="34"/>
      <c r="C316" s="35"/>
      <c r="D316" s="33"/>
      <c r="E316" s="33"/>
      <c r="F316" s="33"/>
      <c r="G316" s="33"/>
      <c r="H316" s="36"/>
      <c r="I316" s="36"/>
    </row>
    <row r="317" spans="1:9" x14ac:dyDescent="0.35">
      <c r="A317" s="33"/>
      <c r="B317" s="34"/>
      <c r="C317" s="35"/>
      <c r="D317" s="33"/>
      <c r="E317" s="33"/>
      <c r="F317" s="33"/>
      <c r="G317" s="33"/>
      <c r="H317" s="36"/>
      <c r="I317" s="36"/>
    </row>
    <row r="318" spans="1:9" x14ac:dyDescent="0.35">
      <c r="A318" s="33"/>
      <c r="B318" s="34"/>
      <c r="C318" s="35"/>
      <c r="D318" s="33"/>
      <c r="E318" s="33"/>
      <c r="F318" s="33"/>
      <c r="G318" s="33"/>
      <c r="H318" s="36"/>
      <c r="I318" s="36"/>
    </row>
    <row r="319" spans="1:9" x14ac:dyDescent="0.35">
      <c r="A319" s="33"/>
      <c r="B319" s="34"/>
      <c r="C319" s="35"/>
      <c r="D319" s="33"/>
      <c r="E319" s="33"/>
      <c r="F319" s="33"/>
      <c r="G319" s="33"/>
      <c r="H319" s="36"/>
      <c r="I319" s="36"/>
    </row>
    <row r="320" spans="1:9" x14ac:dyDescent="0.35">
      <c r="A320" s="33"/>
      <c r="B320" s="34"/>
      <c r="C320" s="35"/>
      <c r="D320" s="33"/>
      <c r="E320" s="33"/>
      <c r="F320" s="33"/>
      <c r="G320" s="33"/>
      <c r="H320" s="36"/>
      <c r="I320" s="36"/>
    </row>
    <row r="321" spans="1:9" x14ac:dyDescent="0.35">
      <c r="A321" s="33"/>
      <c r="B321" s="34"/>
      <c r="C321" s="35"/>
      <c r="D321" s="33"/>
      <c r="E321" s="33"/>
      <c r="F321" s="33"/>
      <c r="G321" s="33"/>
      <c r="H321" s="36"/>
      <c r="I321" s="36"/>
    </row>
    <row r="322" spans="1:9" x14ac:dyDescent="0.35">
      <c r="A322" s="33"/>
      <c r="B322" s="34"/>
      <c r="C322" s="35"/>
      <c r="D322" s="33"/>
      <c r="E322" s="33"/>
      <c r="F322" s="33"/>
      <c r="G322" s="33"/>
      <c r="H322" s="36"/>
      <c r="I322" s="36"/>
    </row>
    <row r="323" spans="1:9" x14ac:dyDescent="0.35">
      <c r="A323" s="33"/>
      <c r="B323" s="34"/>
      <c r="C323" s="35"/>
      <c r="D323" s="33"/>
      <c r="E323" s="33"/>
      <c r="F323" s="33"/>
      <c r="G323" s="33"/>
      <c r="H323" s="36"/>
      <c r="I323" s="36"/>
    </row>
    <row r="324" spans="1:9" x14ac:dyDescent="0.35">
      <c r="A324" s="33"/>
      <c r="B324" s="34"/>
      <c r="C324" s="35"/>
      <c r="D324" s="33"/>
      <c r="E324" s="33"/>
      <c r="F324" s="33"/>
      <c r="G324" s="33"/>
      <c r="H324" s="36"/>
      <c r="I324" s="36"/>
    </row>
    <row r="325" spans="1:9" x14ac:dyDescent="0.35">
      <c r="A325" s="33"/>
      <c r="B325" s="34"/>
      <c r="C325" s="35"/>
      <c r="D325" s="33"/>
      <c r="E325" s="33"/>
      <c r="F325" s="33"/>
      <c r="G325" s="33"/>
      <c r="H325" s="36"/>
      <c r="I325" s="36"/>
    </row>
    <row r="326" spans="1:9" x14ac:dyDescent="0.35">
      <c r="A326" s="33"/>
      <c r="B326" s="34"/>
      <c r="C326" s="35"/>
      <c r="D326" s="33"/>
      <c r="E326" s="33"/>
      <c r="F326" s="33"/>
      <c r="G326" s="33"/>
      <c r="H326" s="36"/>
      <c r="I326" s="36"/>
    </row>
    <row r="327" spans="1:9" x14ac:dyDescent="0.35">
      <c r="A327" s="33"/>
      <c r="B327" s="34"/>
      <c r="C327" s="35"/>
      <c r="D327" s="33"/>
      <c r="E327" s="33"/>
      <c r="F327" s="33"/>
      <c r="G327" s="33"/>
      <c r="H327" s="36"/>
      <c r="I327" s="36"/>
    </row>
    <row r="328" spans="1:9" x14ac:dyDescent="0.35">
      <c r="A328" s="33"/>
      <c r="B328" s="34"/>
      <c r="C328" s="35"/>
      <c r="D328" s="33"/>
      <c r="E328" s="33"/>
      <c r="F328" s="33"/>
      <c r="G328" s="33"/>
      <c r="H328" s="36"/>
      <c r="I328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ABSENSI</vt:lpstr>
      <vt:lpstr>SPL</vt:lpstr>
      <vt:lpstr>DATA FINGER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Widiyana</dc:creator>
  <cp:lastModifiedBy>Wahyu Widiyana</cp:lastModifiedBy>
  <cp:lastPrinted>2026-09-23T09:19:05Z</cp:lastPrinted>
  <dcterms:created xsi:type="dcterms:W3CDTF">2026-09-23T09:18:33Z</dcterms:created>
  <dcterms:modified xsi:type="dcterms:W3CDTF">2026-10-12T08:51:25Z</dcterms:modified>
</cp:coreProperties>
</file>